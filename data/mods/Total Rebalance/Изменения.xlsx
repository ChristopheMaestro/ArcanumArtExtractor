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18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0" windowWidth="2070" windowHeight="1110" tabRatio="802"/>
  </bookViews>
  <sheets>
    <sheet name="Оружие ближнего боя" sheetId="6" r:id="rId1"/>
    <sheet name="Огнестрельное оружие" sheetId="1" r:id="rId2"/>
    <sheet name="Метательное оружие" sheetId="15" r:id="rId3"/>
    <sheet name="Луки" sheetId="12" r:id="rId4"/>
    <sheet name="Технологическая броня" sheetId="4" r:id="rId5"/>
    <sheet name="Магическая броня" sheetId="13" r:id="rId6"/>
    <sheet name="Щиты" sheetId="11" r:id="rId7"/>
    <sheet name="Шлемы" sheetId="10" r:id="rId8"/>
    <sheet name="Перчатки и ботинки" sheetId="14" r:id="rId9"/>
    <sheet name="Медальоны и кольца" sheetId="8" r:id="rId10"/>
    <sheet name="Зелья и еда" sheetId="24" r:id="rId11"/>
    <sheet name="Вес и стоимость предметов" sheetId="22" r:id="rId12"/>
    <sheet name="Склонность предметов" sheetId="27" r:id="rId13"/>
    <sheet name="Технологические схемы" sheetId="20" r:id="rId14"/>
    <sheet name="Магия" sheetId="18" r:id="rId15"/>
    <sheet name="Существа" sheetId="26" r:id="rId16"/>
    <sheet name="Ошибки" sheetId="21" r:id="rId17"/>
    <sheet name="Движок игры" sheetId="25" r:id="rId18"/>
    <sheet name="Изображения и эффекты" sheetId="23" r:id="rId19"/>
    <sheet name="Разное" sheetId="9" r:id="rId20"/>
  </sheets>
  <calcPr calcId="125725"/>
</workbook>
</file>

<file path=xl/calcChain.xml><?xml version="1.0" encoding="utf-8"?>
<calcChain xmlns="http://schemas.openxmlformats.org/spreadsheetml/2006/main">
  <c r="N13" i="6"/>
  <c r="M13"/>
  <c r="N12"/>
  <c r="M12"/>
  <c r="N39"/>
  <c r="M39"/>
  <c r="N38"/>
  <c r="M38"/>
  <c r="N41"/>
  <c r="M41"/>
  <c r="N40"/>
  <c r="M40"/>
  <c r="N176"/>
  <c r="M176"/>
  <c r="N175"/>
  <c r="M175"/>
  <c r="N19"/>
  <c r="M19"/>
  <c r="N18"/>
  <c r="M18"/>
  <c r="O22" i="12"/>
  <c r="P22"/>
  <c r="O23"/>
  <c r="P23"/>
  <c r="N21" i="6"/>
  <c r="M21"/>
  <c r="N20"/>
  <c r="M20"/>
  <c r="P9" i="12"/>
  <c r="O9"/>
  <c r="P8"/>
  <c r="O8"/>
  <c r="N27" i="6"/>
  <c r="M27"/>
  <c r="N26"/>
  <c r="M26"/>
  <c r="N178"/>
  <c r="M178"/>
  <c r="N177"/>
  <c r="M177"/>
  <c r="O4" i="12"/>
  <c r="O5"/>
  <c r="O6"/>
  <c r="O7"/>
  <c r="O10"/>
  <c r="O11"/>
  <c r="O12"/>
  <c r="O13"/>
  <c r="O14"/>
  <c r="O15"/>
  <c r="O16"/>
  <c r="O17"/>
  <c r="O18"/>
  <c r="O19"/>
  <c r="O20"/>
  <c r="O21"/>
  <c r="O24"/>
  <c r="O25"/>
  <c r="O26"/>
  <c r="O27"/>
  <c r="O28"/>
  <c r="O29"/>
  <c r="O3"/>
  <c r="O2"/>
  <c r="P2"/>
  <c r="P4"/>
  <c r="P5"/>
  <c r="P6"/>
  <c r="P7"/>
  <c r="P10"/>
  <c r="P11"/>
  <c r="P12"/>
  <c r="P13"/>
  <c r="P14"/>
  <c r="P15"/>
  <c r="P16"/>
  <c r="P17"/>
  <c r="P18"/>
  <c r="P19"/>
  <c r="P20"/>
  <c r="P21"/>
  <c r="P24"/>
  <c r="P25"/>
  <c r="P26"/>
  <c r="P27"/>
  <c r="P28"/>
  <c r="P29"/>
  <c r="P3"/>
  <c r="P4" i="15"/>
  <c r="Q4"/>
  <c r="P5"/>
  <c r="Q5"/>
  <c r="P6"/>
  <c r="Q6"/>
  <c r="P7"/>
  <c r="Q7"/>
  <c r="P8"/>
  <c r="Q8"/>
  <c r="P9"/>
  <c r="Q9"/>
  <c r="P10"/>
  <c r="Q10"/>
  <c r="P11"/>
  <c r="Q11"/>
  <c r="P12"/>
  <c r="Q12"/>
  <c r="P13"/>
  <c r="Q13"/>
  <c r="P14"/>
  <c r="Q14"/>
  <c r="P15"/>
  <c r="Q15"/>
  <c r="P16"/>
  <c r="Q16"/>
  <c r="P17"/>
  <c r="Q17"/>
  <c r="P18"/>
  <c r="Q18"/>
  <c r="P19"/>
  <c r="Q19"/>
  <c r="P20"/>
  <c r="Q20"/>
  <c r="P21"/>
  <c r="Q21"/>
  <c r="P22"/>
  <c r="P23"/>
  <c r="P24"/>
  <c r="Q24"/>
  <c r="P25"/>
  <c r="Q25"/>
  <c r="P26"/>
  <c r="Q26"/>
  <c r="P27"/>
  <c r="Q27"/>
  <c r="P28"/>
  <c r="Q28"/>
  <c r="P29"/>
  <c r="Q29"/>
  <c r="P30"/>
  <c r="Q30"/>
  <c r="P31"/>
  <c r="Q31"/>
  <c r="P32"/>
  <c r="Q32"/>
  <c r="P33"/>
  <c r="Q33"/>
  <c r="P34"/>
  <c r="Q34"/>
  <c r="P35"/>
  <c r="Q35"/>
  <c r="P36"/>
  <c r="Q36"/>
  <c r="P37"/>
  <c r="Q37"/>
  <c r="P38"/>
  <c r="Q38"/>
  <c r="P39"/>
  <c r="Q39"/>
  <c r="P40"/>
  <c r="Q40"/>
  <c r="P41"/>
  <c r="Q41"/>
  <c r="P42"/>
  <c r="Q42"/>
  <c r="P43"/>
  <c r="Q43"/>
  <c r="P44"/>
  <c r="Q44"/>
  <c r="P45"/>
  <c r="Q45"/>
  <c r="P46"/>
  <c r="Q46"/>
  <c r="P47"/>
  <c r="Q47"/>
  <c r="P48"/>
  <c r="Q48"/>
  <c r="P49"/>
  <c r="Q49"/>
  <c r="P50"/>
  <c r="Q50"/>
  <c r="P51"/>
  <c r="Q51"/>
  <c r="P52"/>
  <c r="Q52"/>
  <c r="P53"/>
  <c r="Q53"/>
  <c r="P54"/>
  <c r="Q54"/>
  <c r="P55"/>
  <c r="Q55"/>
  <c r="P3"/>
  <c r="Q3"/>
  <c r="Q2"/>
  <c r="P2"/>
  <c r="M2" i="6"/>
  <c r="M149"/>
  <c r="N149"/>
  <c r="M150"/>
  <c r="N150"/>
  <c r="M151"/>
  <c r="N151"/>
  <c r="M152"/>
  <c r="N152"/>
  <c r="M153"/>
  <c r="N153"/>
  <c r="M154"/>
  <c r="N154"/>
  <c r="M155"/>
  <c r="N155"/>
  <c r="M156"/>
  <c r="N156"/>
  <c r="M157"/>
  <c r="N157"/>
  <c r="M158"/>
  <c r="N158"/>
  <c r="M159"/>
  <c r="N159"/>
  <c r="M160"/>
  <c r="N160"/>
  <c r="M161"/>
  <c r="N161"/>
  <c r="M162"/>
  <c r="N162"/>
  <c r="M163"/>
  <c r="N163"/>
  <c r="M164"/>
  <c r="N164"/>
  <c r="M165"/>
  <c r="N165"/>
  <c r="M166"/>
  <c r="N166"/>
  <c r="M167"/>
  <c r="N167"/>
  <c r="M168"/>
  <c r="N168"/>
  <c r="M169"/>
  <c r="N169"/>
  <c r="M170"/>
  <c r="N170"/>
  <c r="M171"/>
  <c r="N171"/>
  <c r="M172"/>
  <c r="N172"/>
  <c r="M173"/>
  <c r="N173"/>
  <c r="M174"/>
  <c r="N174"/>
  <c r="M179"/>
  <c r="N179"/>
  <c r="M180"/>
  <c r="N180"/>
  <c r="M181"/>
  <c r="N181"/>
  <c r="M182"/>
  <c r="N182"/>
  <c r="M183"/>
  <c r="N183"/>
  <c r="M184"/>
  <c r="N184"/>
  <c r="M185"/>
  <c r="N185"/>
  <c r="M186"/>
  <c r="N186"/>
  <c r="M146"/>
  <c r="N146"/>
  <c r="M147"/>
  <c r="N147"/>
  <c r="M148"/>
  <c r="N148"/>
  <c r="M60"/>
  <c r="N60"/>
  <c r="M61"/>
  <c r="N61"/>
  <c r="M62"/>
  <c r="N62"/>
  <c r="M63"/>
  <c r="N63"/>
  <c r="M64"/>
  <c r="N64"/>
  <c r="M65"/>
  <c r="N65"/>
  <c r="M66"/>
  <c r="N66"/>
  <c r="M67"/>
  <c r="N67"/>
  <c r="M68"/>
  <c r="N68"/>
  <c r="M69"/>
  <c r="N69"/>
  <c r="M70"/>
  <c r="N70"/>
  <c r="M71"/>
  <c r="N71"/>
  <c r="M72"/>
  <c r="N72"/>
  <c r="M73"/>
  <c r="N73"/>
  <c r="M74"/>
  <c r="N74"/>
  <c r="M75"/>
  <c r="N75"/>
  <c r="M76"/>
  <c r="N76"/>
  <c r="M77"/>
  <c r="N77"/>
  <c r="M78"/>
  <c r="N78"/>
  <c r="M79"/>
  <c r="N79"/>
  <c r="M80"/>
  <c r="N80"/>
  <c r="M81"/>
  <c r="N81"/>
  <c r="M82"/>
  <c r="N82"/>
  <c r="M83"/>
  <c r="N83"/>
  <c r="M84"/>
  <c r="N84"/>
  <c r="M85"/>
  <c r="N85"/>
  <c r="M86"/>
  <c r="N86"/>
  <c r="M87"/>
  <c r="N87"/>
  <c r="M88"/>
  <c r="N88"/>
  <c r="M89"/>
  <c r="N89"/>
  <c r="M90"/>
  <c r="N90"/>
  <c r="M91"/>
  <c r="N91"/>
  <c r="M92"/>
  <c r="N92"/>
  <c r="M93"/>
  <c r="N93"/>
  <c r="M94"/>
  <c r="N94"/>
  <c r="M95"/>
  <c r="N95"/>
  <c r="M96"/>
  <c r="N96"/>
  <c r="M97"/>
  <c r="N97"/>
  <c r="M98"/>
  <c r="N98"/>
  <c r="M99"/>
  <c r="N99"/>
  <c r="M100"/>
  <c r="N100"/>
  <c r="M101"/>
  <c r="N101"/>
  <c r="M102"/>
  <c r="N102"/>
  <c r="M103"/>
  <c r="N103"/>
  <c r="M104"/>
  <c r="N104"/>
  <c r="M105"/>
  <c r="N105"/>
  <c r="M106"/>
  <c r="N106"/>
  <c r="M107"/>
  <c r="N107"/>
  <c r="M108"/>
  <c r="N108"/>
  <c r="M109"/>
  <c r="N109"/>
  <c r="M110"/>
  <c r="N110"/>
  <c r="M111"/>
  <c r="N111"/>
  <c r="M112"/>
  <c r="N112"/>
  <c r="M113"/>
  <c r="N113"/>
  <c r="M114"/>
  <c r="N114"/>
  <c r="M115"/>
  <c r="N115"/>
  <c r="M116"/>
  <c r="N116"/>
  <c r="M117"/>
  <c r="N117"/>
  <c r="M118"/>
  <c r="N118"/>
  <c r="M119"/>
  <c r="N119"/>
  <c r="M120"/>
  <c r="N120"/>
  <c r="M121"/>
  <c r="N121"/>
  <c r="M122"/>
  <c r="N122"/>
  <c r="M123"/>
  <c r="N123"/>
  <c r="M124"/>
  <c r="N124"/>
  <c r="M125"/>
  <c r="N125"/>
  <c r="M126"/>
  <c r="N126"/>
  <c r="M127"/>
  <c r="N127"/>
  <c r="M128"/>
  <c r="N128"/>
  <c r="M129"/>
  <c r="N129"/>
  <c r="M130"/>
  <c r="N130"/>
  <c r="M131"/>
  <c r="N131"/>
  <c r="M132"/>
  <c r="N132"/>
  <c r="M133"/>
  <c r="N133"/>
  <c r="M134"/>
  <c r="N134"/>
  <c r="M135"/>
  <c r="N135"/>
  <c r="M136"/>
  <c r="N136"/>
  <c r="M137"/>
  <c r="N137"/>
  <c r="M138"/>
  <c r="N138"/>
  <c r="M139"/>
  <c r="N139"/>
  <c r="M140"/>
  <c r="N140"/>
  <c r="M141"/>
  <c r="N141"/>
  <c r="M142"/>
  <c r="N142"/>
  <c r="M143"/>
  <c r="N143"/>
  <c r="M144"/>
  <c r="N144"/>
  <c r="M145"/>
  <c r="N145"/>
  <c r="N2"/>
  <c r="M3"/>
  <c r="N3"/>
  <c r="M4"/>
  <c r="N4"/>
  <c r="M5"/>
  <c r="N5"/>
  <c r="M6"/>
  <c r="N6"/>
  <c r="M7"/>
  <c r="N7"/>
  <c r="M8"/>
  <c r="N8"/>
  <c r="M9"/>
  <c r="N9"/>
  <c r="M10"/>
  <c r="N10"/>
  <c r="M11"/>
  <c r="N11"/>
  <c r="M14"/>
  <c r="N14"/>
  <c r="M15"/>
  <c r="N15"/>
  <c r="M16"/>
  <c r="N16"/>
  <c r="M17"/>
  <c r="N17"/>
  <c r="M22"/>
  <c r="N22"/>
  <c r="M23"/>
  <c r="N23"/>
  <c r="M24"/>
  <c r="N24"/>
  <c r="M25"/>
  <c r="N25"/>
  <c r="M28"/>
  <c r="N28"/>
  <c r="M29"/>
  <c r="N29"/>
  <c r="M30"/>
  <c r="N30"/>
  <c r="M31"/>
  <c r="N31"/>
  <c r="M32"/>
  <c r="N32"/>
  <c r="M33"/>
  <c r="N33"/>
  <c r="M34"/>
  <c r="N34"/>
  <c r="M35"/>
  <c r="N35"/>
  <c r="M36"/>
  <c r="N36"/>
  <c r="M37"/>
  <c r="N37"/>
  <c r="M42"/>
  <c r="N42"/>
  <c r="M43"/>
  <c r="N43"/>
  <c r="M44"/>
  <c r="N44"/>
  <c r="M45"/>
  <c r="N45"/>
  <c r="M46"/>
  <c r="N46"/>
  <c r="M47"/>
  <c r="N47"/>
  <c r="M48"/>
  <c r="N48"/>
  <c r="M49"/>
  <c r="N49"/>
  <c r="M52"/>
  <c r="N52"/>
  <c r="M53"/>
  <c r="N53"/>
  <c r="M54"/>
  <c r="N54"/>
  <c r="M55"/>
  <c r="N55"/>
  <c r="M56"/>
  <c r="N56"/>
  <c r="M57"/>
  <c r="N57"/>
  <c r="M58"/>
  <c r="N58"/>
  <c r="M59"/>
  <c r="N59"/>
  <c r="M50"/>
  <c r="N50"/>
  <c r="N51"/>
  <c r="M51"/>
  <c r="P4" i="1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3"/>
  <c r="P2"/>
  <c r="Q19"/>
  <c r="Q18"/>
  <c r="Q13" l="1"/>
  <c r="Q12"/>
  <c r="Q67"/>
  <c r="Q66"/>
  <c r="Q78"/>
  <c r="Q79"/>
  <c r="Q64"/>
  <c r="Q8"/>
  <c r="Q9"/>
  <c r="Q2"/>
  <c r="Q4"/>
  <c r="Q10"/>
  <c r="Q14"/>
  <c r="Q16"/>
  <c r="Q20"/>
  <c r="Q22"/>
  <c r="Q32"/>
  <c r="Q33"/>
  <c r="Q24"/>
  <c r="Q26"/>
  <c r="Q27"/>
  <c r="Q25"/>
  <c r="Q21"/>
  <c r="Q17"/>
  <c r="Q15"/>
  <c r="Q11"/>
  <c r="Q5"/>
  <c r="Q3"/>
  <c r="Q23"/>
  <c r="Q80"/>
  <c r="Q81"/>
  <c r="Q6"/>
  <c r="Q7"/>
  <c r="Q35"/>
  <c r="Q34"/>
  <c r="Q36"/>
  <c r="Q28"/>
  <c r="Q29"/>
  <c r="Q37"/>
  <c r="Q54"/>
  <c r="Q48"/>
  <c r="Q49" l="1"/>
  <c r="Q41"/>
  <c r="Q40"/>
  <c r="Q53"/>
  <c r="Q52"/>
  <c r="Q39"/>
  <c r="Q38"/>
  <c r="Q51"/>
  <c r="Q61"/>
  <c r="Q60"/>
  <c r="Q59"/>
  <c r="Q58"/>
  <c r="Q45"/>
  <c r="Q44"/>
  <c r="Q55"/>
  <c r="Q57"/>
  <c r="Q69"/>
  <c r="Q31"/>
  <c r="Q42"/>
  <c r="Q43"/>
  <c r="Q30"/>
  <c r="Q68"/>
  <c r="Q50"/>
  <c r="Q77"/>
  <c r="Q47"/>
  <c r="Q63"/>
  <c r="Q75"/>
  <c r="Q73"/>
  <c r="Q72"/>
  <c r="Q74"/>
  <c r="Q62"/>
  <c r="Q46"/>
  <c r="Q76"/>
  <c r="Q56"/>
  <c r="Q65"/>
</calcChain>
</file>

<file path=xl/comments1.xml><?xml version="1.0" encoding="utf-8"?>
<comments xmlns="http://schemas.openxmlformats.org/spreadsheetml/2006/main">
  <authors>
    <author>Владимир</author>
    <author>Кралько Владимир</author>
  </authors>
  <commentList>
    <comment ref="A10" authorId="0">
      <text>
        <r>
          <rPr>
            <sz val="9"/>
            <color indexed="81"/>
            <rFont val="Tahoma"/>
            <family val="2"/>
            <charset val="204"/>
          </rPr>
          <t>Технологическая склонность 0</t>
        </r>
      </text>
    </comment>
    <comment ref="A11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10</t>
        </r>
      </text>
    </comment>
    <comment ref="A12" authorId="0">
      <text>
        <r>
          <rPr>
            <sz val="9"/>
            <color indexed="81"/>
            <rFont val="Tahoma"/>
            <family val="2"/>
            <charset val="204"/>
          </rPr>
          <t>Находится у Гадалки в Туманных Холмах</t>
        </r>
      </text>
    </comment>
    <comment ref="A13" authorId="0">
      <text>
        <r>
          <rPr>
            <sz val="9"/>
            <color indexed="81"/>
            <rFont val="Tahoma"/>
            <family val="2"/>
            <charset val="204"/>
          </rPr>
          <t>Находится у Гадалки в Туманных Холмах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Взято изображение Кинжала Скорости</t>
        </r>
      </text>
    </comment>
    <comment ref="A17" authorId="0">
      <text>
        <r>
          <rPr>
            <sz val="9"/>
            <color indexed="81"/>
            <rFont val="Tahoma"/>
            <family val="2"/>
            <charset val="204"/>
          </rPr>
          <t>Взято изображение Кинжала Мага</t>
        </r>
      </text>
    </comment>
    <comment ref="L19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20
Магическая склонность 40</t>
        </r>
      </text>
    </comment>
    <comment ref="B2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A40" authorId="0">
      <text>
        <r>
          <rPr>
            <sz val="9"/>
            <color indexed="81"/>
            <rFont val="Tahoma"/>
            <family val="2"/>
            <charset val="204"/>
          </rPr>
          <t>Находится у Лианны Пел Дар в Дернхольме</t>
        </r>
      </text>
    </comment>
    <comment ref="A41" authorId="0">
      <text>
        <r>
          <rPr>
            <sz val="9"/>
            <color indexed="81"/>
            <rFont val="Tahoma"/>
            <family val="2"/>
            <charset val="204"/>
          </rPr>
          <t>Находится у Лианны Пел Дар в Дернхольме</t>
        </r>
      </text>
    </comment>
    <comment ref="L44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</t>
        </r>
      </text>
    </comment>
    <comment ref="A45" authorId="0">
      <text>
        <r>
          <rPr>
            <sz val="9"/>
            <color indexed="81"/>
            <rFont val="Tahoma"/>
            <family val="2"/>
            <charset val="204"/>
          </rPr>
          <t>Изображение изменено (взят неиспользуемый арт)</t>
        </r>
      </text>
    </comment>
    <comment ref="L45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10</t>
        </r>
      </text>
    </comment>
    <comment ref="A46" authorId="0">
      <text>
        <r>
          <rPr>
            <sz val="9"/>
            <color indexed="81"/>
            <rFont val="Tahoma"/>
            <family val="2"/>
            <charset val="204"/>
          </rPr>
          <t>Находится у Магического кузнеца в Таранте</t>
        </r>
      </text>
    </comment>
    <comment ref="L46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5</t>
        </r>
      </text>
    </comment>
    <comment ref="A47" authorId="0">
      <text>
        <r>
          <rPr>
            <sz val="9"/>
            <color indexed="81"/>
            <rFont val="Tahoma"/>
            <family val="2"/>
            <charset val="204"/>
          </rPr>
          <t>Находится у Магического кузнеца в Таранте</t>
        </r>
      </text>
    </comment>
    <comment ref="L47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5</t>
        </r>
      </text>
    </comment>
    <comment ref="A48" authorId="1">
      <text>
        <r>
          <rPr>
            <sz val="9"/>
            <color indexed="81"/>
            <rFont val="Tahoma"/>
            <family val="2"/>
            <charset val="204"/>
          </rPr>
          <t>Находится в Руинах Эльфов</t>
        </r>
      </text>
    </comment>
    <comment ref="A49" authorId="1">
      <text>
        <r>
          <rPr>
            <sz val="9"/>
            <color indexed="81"/>
            <rFont val="Tahoma"/>
            <family val="2"/>
            <charset val="204"/>
          </rPr>
          <t>Находится в Руинах Эльфов</t>
        </r>
      </text>
    </comment>
    <comment ref="A50" authorId="1">
      <text>
        <r>
          <rPr>
            <sz val="9"/>
            <color indexed="81"/>
            <rFont val="Tahoma"/>
            <family val="2"/>
            <charset val="204"/>
          </rPr>
          <t>Находится в сейфе Седрика Эпплби</t>
        </r>
      </text>
    </comment>
    <comment ref="A51" authorId="1">
      <text>
        <r>
          <rPr>
            <sz val="9"/>
            <color indexed="81"/>
            <rFont val="Tahoma"/>
            <family val="2"/>
            <charset val="204"/>
          </rPr>
          <t>Находится в сейфе Седрика Эпплби, выглядит как меч с кривым лезвием, магическая склонность 30</t>
        </r>
      </text>
    </comment>
    <comment ref="A52" authorId="0">
      <text>
        <r>
          <rPr>
            <sz val="9"/>
            <color indexed="81"/>
            <rFont val="Tahoma"/>
            <family val="2"/>
            <charset val="204"/>
          </rPr>
          <t>Находится в пещере Маннокса</t>
        </r>
      </text>
    </comment>
    <comment ref="A53" authorId="0">
      <text>
        <r>
          <rPr>
            <sz val="9"/>
            <color indexed="81"/>
            <rFont val="Tahoma"/>
            <family val="2"/>
            <charset val="204"/>
          </rPr>
          <t>Находится в пещере Маннокса</t>
        </r>
      </text>
    </comment>
    <comment ref="L53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не ограничено</t>
        </r>
      </text>
    </comment>
    <comment ref="L54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не ограничено</t>
        </r>
      </text>
    </comment>
    <comment ref="L55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40</t>
        </r>
      </text>
    </comment>
    <comment ref="A56" authorId="0">
      <text>
        <r>
          <rPr>
            <sz val="9"/>
            <color indexed="81"/>
            <rFont val="Tahoma"/>
            <family val="2"/>
            <charset val="204"/>
          </rPr>
          <t>Предмет взят из патча «Grand Fix 1.3»</t>
        </r>
      </text>
    </comment>
    <comment ref="L56" authorId="0">
      <text>
        <r>
          <rPr>
            <sz val="9"/>
            <color indexed="81"/>
            <rFont val="Tahoma"/>
            <family val="2"/>
            <charset val="204"/>
          </rPr>
          <t>Реально клинок высасывал у врага энергию и ему же восстанавливал здоровье</t>
        </r>
      </text>
    </comment>
    <comment ref="A57" authorId="0">
      <text>
        <r>
          <rPr>
            <sz val="9"/>
            <color indexed="81"/>
            <rFont val="Tahoma"/>
            <family val="2"/>
            <charset val="204"/>
          </rPr>
          <t>Бывает в продаже Торговца темной магией</t>
        </r>
      </text>
    </comment>
    <comment ref="L57" authorId="0">
      <text>
        <r>
          <rPr>
            <sz val="9"/>
            <color indexed="81"/>
            <rFont val="Tahoma"/>
            <family val="2"/>
            <charset val="204"/>
          </rPr>
          <t>Высасывание здоровья больше не работает на неживые объекты</t>
        </r>
      </text>
    </comment>
    <comment ref="A58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L58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не ограничено,
Магическая склонность 100</t>
        </r>
      </text>
    </comment>
    <comment ref="A59" authorId="0">
      <text>
        <r>
          <rPr>
            <sz val="9"/>
            <color indexed="81"/>
            <rFont val="Tahoma"/>
            <family val="2"/>
            <charset val="204"/>
          </rPr>
          <t>Даётся при выборе биографии "Ребёнок героя"</t>
        </r>
      </text>
    </comment>
    <comment ref="L59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не ограничено,
Магическая склонность 60</t>
        </r>
      </text>
    </comment>
    <comment ref="B73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A75" authorId="0">
      <text>
        <r>
          <rPr>
            <sz val="9"/>
            <color indexed="81"/>
            <rFont val="Tahoma"/>
            <family val="2"/>
            <charset val="204"/>
          </rPr>
          <t>При использовании отображается количество батарей в окне патронов</t>
        </r>
      </text>
    </comment>
    <comment ref="B75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J75" authorId="0">
      <text>
        <r>
          <rPr>
            <sz val="9"/>
            <color indexed="81"/>
            <rFont val="Tahoma"/>
            <family val="2"/>
            <charset val="204"/>
          </rPr>
          <t>Без батарей не наносится урон электричеством</t>
        </r>
      </text>
    </comment>
    <comment ref="L75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A76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A77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50</t>
        </r>
      </text>
    </comment>
    <comment ref="A78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A79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A102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15</t>
        </r>
      </text>
    </comment>
    <comment ref="A103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A104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20</t>
        </r>
      </text>
    </comment>
    <comment ref="I104" authorId="0">
      <text>
        <r>
          <rPr>
            <sz val="9"/>
            <color indexed="81"/>
            <rFont val="Tahoma"/>
            <family val="2"/>
            <charset val="204"/>
          </rPr>
          <t>Бонус к урону по нежити</t>
        </r>
      </text>
    </comment>
    <comment ref="A105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45</t>
        </r>
      </text>
    </comment>
    <comment ref="I105" authorId="0">
      <text>
        <r>
          <rPr>
            <sz val="9"/>
            <color indexed="81"/>
            <rFont val="Tahoma"/>
            <family val="2"/>
            <charset val="204"/>
          </rPr>
          <t>Бонус к урону огнем по нежити</t>
        </r>
      </text>
    </comment>
    <comment ref="A111" authorId="0">
      <text>
        <r>
          <rPr>
            <sz val="9"/>
            <color indexed="81"/>
            <rFont val="Tahoma"/>
            <family val="2"/>
            <charset val="204"/>
          </rPr>
          <t>Взято изображение Тайного Топора</t>
        </r>
      </text>
    </comment>
    <comment ref="A113" authorId="0">
      <text>
        <r>
          <rPr>
            <sz val="9"/>
            <color indexed="81"/>
            <rFont val="Tahoma"/>
            <family val="2"/>
            <charset val="204"/>
          </rPr>
          <t>Взято изображение Мистического Топора</t>
        </r>
      </text>
    </comment>
    <comment ref="B125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A127" authorId="0">
      <text>
        <r>
          <rPr>
            <sz val="9"/>
            <color indexed="81"/>
            <rFont val="Tahoma"/>
            <family val="2"/>
            <charset val="204"/>
          </rPr>
          <t>Добавлен звук повреждения током</t>
        </r>
      </text>
    </comment>
    <comment ref="B127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J127" authorId="0">
      <text>
        <r>
          <rPr>
            <sz val="9"/>
            <color indexed="81"/>
            <rFont val="Tahoma"/>
            <family val="2"/>
            <charset val="204"/>
          </rPr>
          <t>Без батарей не наносится урон электричеством</t>
        </r>
      </text>
    </comment>
    <comment ref="L127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A129" authorId="0">
      <text>
        <r>
          <rPr>
            <sz val="9"/>
            <color indexed="81"/>
            <rFont val="Tahoma"/>
            <family val="2"/>
            <charset val="204"/>
          </rPr>
          <t>Добавлен звук повреждения огнем</t>
        </r>
      </text>
    </comment>
    <comment ref="B12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129" authorId="0">
      <text>
        <r>
          <rPr>
            <sz val="9"/>
            <color indexed="81"/>
            <rFont val="Tahoma"/>
            <family val="2"/>
            <charset val="204"/>
          </rPr>
          <t>Без топлива не наносится урон огнем</t>
        </r>
      </text>
    </comment>
    <comment ref="L129" authorId="0">
      <text>
        <r>
          <rPr>
            <sz val="9"/>
            <color indexed="81"/>
            <rFont val="Tahoma"/>
            <family val="2"/>
            <charset val="204"/>
          </rPr>
          <t>Расход топлива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L133" authorId="0">
      <text>
        <r>
          <rPr>
            <sz val="9"/>
            <color indexed="81"/>
            <rFont val="Tahoma"/>
            <family val="2"/>
            <charset val="204"/>
          </rPr>
          <t xml:space="preserve">Только от базового урона </t>
        </r>
      </text>
    </comment>
    <comment ref="L135" authorId="0">
      <text>
        <r>
          <rPr>
            <sz val="9"/>
            <color indexed="81"/>
            <rFont val="Tahoma"/>
            <family val="2"/>
            <charset val="204"/>
          </rPr>
          <t>Только от базового урона</t>
        </r>
      </text>
    </comment>
    <comment ref="L137" authorId="0">
      <text>
        <r>
          <rPr>
            <sz val="9"/>
            <color indexed="81"/>
            <rFont val="Tahoma"/>
            <family val="2"/>
            <charset val="204"/>
          </rPr>
          <t>Только от базового урона</t>
        </r>
      </text>
    </comment>
    <comment ref="L139" authorId="0">
      <text>
        <r>
          <rPr>
            <sz val="9"/>
            <color indexed="81"/>
            <rFont val="Tahoma"/>
            <family val="2"/>
            <charset val="204"/>
          </rPr>
          <t>Только от базового урона</t>
        </r>
      </text>
    </comment>
    <comment ref="A141" authorId="0">
      <text>
        <r>
          <rPr>
            <sz val="9"/>
            <color indexed="81"/>
            <rFont val="Tahoma"/>
            <family val="2"/>
            <charset val="204"/>
          </rPr>
          <t>Размер картинки уменьшен</t>
        </r>
      </text>
    </comment>
    <comment ref="A145" authorId="0">
      <text>
        <r>
          <rPr>
            <sz val="9"/>
            <color indexed="81"/>
            <rFont val="Tahoma"/>
            <family val="2"/>
            <charset val="204"/>
          </rPr>
          <t>Размер картинки увеличен</t>
        </r>
      </text>
    </comment>
    <comment ref="A146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L148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A150" authorId="0">
      <text>
        <r>
          <rPr>
            <sz val="9"/>
            <color indexed="81"/>
            <rFont val="Tahoma"/>
            <family val="2"/>
            <charset val="204"/>
          </rPr>
          <t>Размер картинки уменьшен</t>
        </r>
      </text>
    </comment>
    <comment ref="L150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L152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A153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20</t>
        </r>
      </text>
    </comment>
    <comment ref="A154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L154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A155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10</t>
        </r>
      </text>
    </comment>
    <comment ref="A156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30</t>
        </r>
      </text>
    </comment>
    <comment ref="L156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L158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A159" authorId="0">
      <text>
        <r>
          <rPr>
            <sz val="9"/>
            <color indexed="81"/>
            <rFont val="Tahoma"/>
            <family val="2"/>
            <charset val="204"/>
          </rPr>
          <t>Находится в тронном зале Железного Клана</t>
        </r>
      </text>
    </comment>
    <comment ref="A160" authorId="0">
      <text>
        <r>
          <rPr>
            <sz val="9"/>
            <color indexed="81"/>
            <rFont val="Tahoma"/>
            <family val="2"/>
            <charset val="204"/>
          </rPr>
          <t>Находится в тронном зале Железного Клана</t>
        </r>
      </text>
    </comment>
    <comment ref="L160" authorId="0">
      <text>
        <r>
          <rPr>
            <sz val="9"/>
            <color indexed="81"/>
            <rFont val="Tahoma"/>
            <family val="2"/>
            <charset val="204"/>
          </rPr>
          <t>Крепкая броня и шлем дают шанс блокировать оглушение</t>
        </r>
      </text>
    </comment>
    <comment ref="A161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20</t>
        </r>
      </text>
    </comment>
    <comment ref="L161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20</t>
        </r>
      </text>
    </comment>
    <comment ref="A162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30</t>
        </r>
      </text>
    </comment>
    <comment ref="L162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15</t>
        </r>
      </text>
    </comment>
    <comment ref="A163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60</t>
        </r>
      </text>
    </comment>
    <comment ref="L163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20</t>
        </r>
      </text>
    </comment>
    <comment ref="A164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L164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20</t>
        </r>
      </text>
    </comment>
    <comment ref="A165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60</t>
        </r>
      </text>
    </comment>
    <comment ref="L165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20</t>
        </r>
      </text>
    </comment>
    <comment ref="A166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60</t>
        </r>
      </text>
    </comment>
    <comment ref="L166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25</t>
        </r>
      </text>
    </comment>
    <comment ref="A175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20</t>
        </r>
      </text>
    </comment>
    <comment ref="A176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J185" authorId="0">
      <text>
        <r>
          <rPr>
            <sz val="9"/>
            <color indexed="81"/>
            <rFont val="Tahoma"/>
            <family val="2"/>
            <charset val="204"/>
          </rPr>
          <t>Урон наносится непрерывно и с большой скоростью после первого же попадания</t>
        </r>
      </text>
    </comment>
    <comment ref="L185" authorId="0">
      <text>
        <r>
          <rPr>
            <sz val="9"/>
            <color indexed="81"/>
            <rFont val="Tahoma"/>
            <family val="2"/>
            <charset val="204"/>
          </rPr>
          <t>Имела место ошибка движка игры: количество расходуемых батарей удваивалось если персонаж имел высокую склонность к технологии</t>
        </r>
      </text>
    </comment>
    <comment ref="A186" authorId="0">
      <text>
        <r>
          <rPr>
            <sz val="9"/>
            <color indexed="81"/>
            <rFont val="Tahoma"/>
            <family val="2"/>
            <charset val="204"/>
          </rPr>
          <t>При использовании отображается количество батарей в окне патронов</t>
        </r>
      </text>
    </comment>
    <comment ref="B186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J186" authorId="1">
      <text>
        <r>
          <rPr>
            <sz val="9"/>
            <color indexed="81"/>
            <rFont val="Tahoma"/>
            <family val="2"/>
            <charset val="204"/>
          </rPr>
          <t>Урон наносится один раз при успешном попадании, плюс воспроизводится звук электрического удара, а так же новый визуальный эффект</t>
        </r>
      </text>
    </comment>
    <comment ref="L186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</commentList>
</comments>
</file>

<file path=xl/comments2.xml><?xml version="1.0" encoding="utf-8"?>
<comments xmlns="http://schemas.openxmlformats.org/spreadsheetml/2006/main">
  <authors>
    <author>Кралько Владимир</author>
    <author>Владимир</author>
  </authors>
  <commentList>
    <comment ref="A3" authorId="0">
      <text>
        <r>
          <rPr>
            <sz val="9"/>
            <color indexed="81"/>
            <rFont val="Tahoma"/>
            <family val="2"/>
            <charset val="204"/>
          </rPr>
          <t>Создано новое изображение</t>
        </r>
      </text>
    </comment>
    <comment ref="O7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и исправление шумности выстрела из мода «Arcanum Weapon &amp; Technology Redux»</t>
        </r>
      </text>
    </comment>
    <comment ref="A13" authorId="1">
      <text>
        <r>
          <rPr>
            <sz val="9"/>
            <color indexed="81"/>
            <rFont val="Tahoma"/>
            <family val="2"/>
            <charset val="204"/>
          </rPr>
          <t>Картинка заменена на "pistol05.art"</t>
        </r>
      </text>
    </comment>
    <comment ref="A15" authorId="1">
      <text>
        <r>
          <rPr>
            <sz val="9"/>
            <color indexed="81"/>
            <rFont val="Tahoma"/>
            <family val="2"/>
            <charset val="204"/>
          </rPr>
          <t>Использована бывшая картинка револьвера</t>
        </r>
      </text>
    </comment>
    <comment ref="A20" authorId="1">
      <text>
        <r>
          <rPr>
            <sz val="9"/>
            <color indexed="81"/>
            <rFont val="Tahoma"/>
            <family val="2"/>
            <charset val="204"/>
          </rPr>
          <t>Находится у Оружейника в Эшбери</t>
        </r>
      </text>
    </comment>
    <comment ref="A21" authorId="1">
      <text>
        <r>
          <rPr>
            <sz val="9"/>
            <color indexed="81"/>
            <rFont val="Tahoma"/>
            <family val="2"/>
            <charset val="204"/>
          </rPr>
          <t>Находится у Оружейника в Эшбери</t>
        </r>
      </text>
    </comment>
    <comment ref="B27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31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O31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  <comment ref="A37" authorId="1">
      <text>
        <r>
          <rPr>
            <sz val="9"/>
            <color indexed="81"/>
            <rFont val="Tahoma"/>
            <family val="2"/>
            <charset val="204"/>
          </rPr>
          <t>Сделано новое изображение на основе Хорошего Револьвера</t>
        </r>
      </text>
    </comment>
    <comment ref="O37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и исправление шумности выстрела из мода «Arcanum Weapon &amp; Technology Redux»</t>
        </r>
      </text>
    </comment>
    <comment ref="O40" authorId="1">
      <text>
        <r>
          <rPr>
            <sz val="9"/>
            <color indexed="81"/>
            <rFont val="Tahoma"/>
            <family val="2"/>
            <charset val="204"/>
          </rPr>
          <t>Повреждает только доспех</t>
        </r>
      </text>
    </comment>
    <comment ref="A41" authorId="1">
      <text>
        <r>
          <rPr>
            <sz val="9"/>
            <color indexed="81"/>
            <rFont val="Tahoma"/>
            <family val="2"/>
            <charset val="204"/>
          </rPr>
          <t>Добавлена анимация кислотного эффекта на цели</t>
        </r>
      </text>
    </comment>
    <comment ref="C41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N41" authorId="1">
      <text>
        <r>
          <rPr>
            <sz val="9"/>
            <color indexed="81"/>
            <rFont val="Tahoma"/>
            <family val="2"/>
            <charset val="204"/>
          </rPr>
          <t>Кислота наносит полный урон броне и треть урона здоровью существ</t>
        </r>
      </text>
    </comment>
    <comment ref="O41" authorId="1">
      <text>
        <r>
          <rPr>
            <sz val="9"/>
            <color indexed="81"/>
            <rFont val="Tahoma"/>
            <family val="2"/>
            <charset val="204"/>
          </rPr>
          <t>Повреждает не только доспех, но также шлем, перчатки, сапоги, амулет, кольца, оружие и щит</t>
        </r>
      </text>
    </comment>
    <comment ref="C43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O43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  <comment ref="B45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45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O45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  <comment ref="C47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48" authorId="1">
      <text>
        <r>
          <rPr>
            <sz val="9"/>
            <color indexed="81"/>
            <rFont val="Tahoma"/>
            <family val="2"/>
            <charset val="204"/>
          </rPr>
          <t>Топливо</t>
        </r>
      </text>
    </comment>
    <comment ref="B49" authorId="1">
      <text>
        <r>
          <rPr>
            <sz val="9"/>
            <color indexed="81"/>
            <rFont val="Tahoma"/>
            <family val="2"/>
            <charset val="204"/>
          </rPr>
          <t>Добавлен усиленный звук пламени при критическом попадании</t>
        </r>
      </text>
    </comment>
    <comment ref="C4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49" authorId="1">
      <text>
        <r>
          <rPr>
            <sz val="9"/>
            <color indexed="81"/>
            <rFont val="Tahoma"/>
            <family val="2"/>
            <charset val="204"/>
          </rPr>
          <t>Топливо</t>
        </r>
      </text>
    </comment>
    <comment ref="O49" authorId="1">
      <text>
        <r>
          <rPr>
            <sz val="9"/>
            <color indexed="81"/>
            <rFont val="Tahoma"/>
            <family val="2"/>
            <charset val="204"/>
          </rPr>
          <t>Поражает всех в радиусе 1 единицы за целью атаки (где струя пламени визуально наиболее широкая)</t>
        </r>
      </text>
    </comment>
    <comment ref="B51" authorId="1">
      <text>
        <r>
          <rPr>
            <sz val="9"/>
            <color indexed="81"/>
            <rFont val="Tahoma"/>
            <family val="2"/>
            <charset val="204"/>
          </rPr>
          <t>Звук и анимация электроудара воспроизводятся только если у стреляющего имеются батареи</t>
        </r>
      </text>
    </comment>
    <comment ref="C51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51" authorId="1">
      <text>
        <r>
          <rPr>
            <sz val="9"/>
            <color indexed="81"/>
            <rFont val="Tahoma"/>
            <family val="2"/>
            <charset val="204"/>
          </rPr>
          <t>Пуля + Батарея
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M51" authorId="1">
      <text>
        <r>
          <rPr>
            <sz val="9"/>
            <color indexed="81"/>
            <rFont val="Tahoma"/>
            <family val="2"/>
            <charset val="204"/>
          </rPr>
          <t>Без батарей не наносится урон электричеством</t>
        </r>
      </text>
    </comment>
    <comment ref="B53" authorId="1">
      <text>
        <r>
          <rPr>
            <sz val="9"/>
            <color indexed="81"/>
            <rFont val="Tahoma"/>
            <family val="2"/>
            <charset val="204"/>
          </rPr>
          <t>Звук разгоняемых с помощью магнитного поля патронов воспроизводится только если стреляющий имеет батареи. 
Звук взят из мода «Arcanum Weapon &amp; Technology Redux».</t>
        </r>
      </text>
    </comment>
    <comment ref="C53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53" authorId="1">
      <text>
        <r>
          <rPr>
            <sz val="9"/>
            <color indexed="81"/>
            <rFont val="Tahoma"/>
            <family val="2"/>
            <charset val="204"/>
          </rPr>
          <t>Пуля + Батарея
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O53" authorId="1">
      <text>
        <r>
          <rPr>
            <sz val="9"/>
            <color indexed="81"/>
            <rFont val="Tahoma"/>
            <family val="2"/>
            <charset val="204"/>
          </rPr>
          <t>Без батарей не наносится пробивающий броню урон здоровью и энергии</t>
        </r>
      </text>
    </comment>
    <comment ref="B55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55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B57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57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A59" authorId="1">
      <text>
        <r>
          <rPr>
            <sz val="9"/>
            <color indexed="81"/>
            <rFont val="Tahoma"/>
            <family val="2"/>
            <charset val="204"/>
          </rPr>
          <t>Размер анимации выстрела уменьшен до 75%</t>
        </r>
      </text>
    </comment>
    <comment ref="B59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5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B61" authorId="1">
      <text>
        <r>
          <rPr>
            <sz val="9"/>
            <color indexed="81"/>
            <rFont val="Tahoma"/>
            <family val="2"/>
            <charset val="204"/>
          </rPr>
          <t>Использован звук Крупного Ружья из мода «Arcanum Weapon &amp; Technology Redux»</t>
        </r>
      </text>
    </comment>
    <comment ref="C61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O61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  <comment ref="A63" authorId="1">
      <text>
        <r>
          <rPr>
            <sz val="9"/>
            <color indexed="81"/>
            <rFont val="Tahoma"/>
            <family val="2"/>
            <charset val="204"/>
          </rPr>
          <t>Анимация выстрела взята от Слоновьего Ружья</t>
        </r>
      </text>
    </comment>
    <comment ref="C63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C65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C67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68" authorId="1">
      <text>
        <r>
          <rPr>
            <sz val="9"/>
            <color indexed="81"/>
            <rFont val="Tahoma"/>
            <family val="2"/>
            <charset val="204"/>
          </rPr>
          <t>Топливо</t>
        </r>
      </text>
    </comment>
    <comment ref="B69" authorId="0">
      <text>
        <r>
          <rPr>
            <sz val="9"/>
            <color indexed="81"/>
            <rFont val="Tahoma"/>
            <family val="2"/>
            <charset val="204"/>
          </rPr>
          <t>Звук выстрела взят из мода «Arcanum Weapon &amp; Technology Redux».
Добавлен звук и анимация взрыва гранаты в точке ее попадания.</t>
        </r>
      </text>
    </comment>
    <comment ref="C6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69" authorId="1">
      <text>
        <r>
          <rPr>
            <sz val="9"/>
            <color indexed="81"/>
            <rFont val="Tahoma"/>
            <family val="2"/>
            <charset val="204"/>
          </rPr>
          <t>Топливо</t>
        </r>
      </text>
    </comment>
    <comment ref="O69" authorId="1">
      <text>
        <r>
          <rPr>
            <sz val="9"/>
            <color indexed="81"/>
            <rFont val="Tahoma"/>
            <family val="2"/>
            <charset val="204"/>
          </rPr>
          <t>Можно уклониться от попадания гранаты, которая наносит 5-10 урона, но в любом случае она взорвется и нанесет всем урон</t>
        </r>
      </text>
    </comment>
    <comment ref="C71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72" authorId="1">
      <text>
        <r>
          <rPr>
            <sz val="9"/>
            <color indexed="81"/>
            <rFont val="Tahoma"/>
            <family val="2"/>
            <charset val="204"/>
          </rPr>
          <t>Батарея</t>
        </r>
      </text>
    </comment>
    <comment ref="A73" authorId="0">
      <text>
        <r>
          <rPr>
            <sz val="9"/>
            <color indexed="81"/>
            <rFont val="Tahoma"/>
            <family val="2"/>
            <charset val="204"/>
          </rPr>
          <t>Скорость снаряда 3</t>
        </r>
      </text>
    </comment>
    <comment ref="B73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73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73" authorId="1">
      <text>
        <r>
          <rPr>
            <sz val="9"/>
            <color indexed="81"/>
            <rFont val="Tahoma"/>
            <family val="2"/>
            <charset val="204"/>
          </rPr>
          <t>Батарея</t>
        </r>
      </text>
    </comment>
    <comment ref="I74" authorId="1">
      <text>
        <r>
          <rPr>
            <sz val="9"/>
            <color indexed="81"/>
            <rFont val="Tahoma"/>
            <family val="2"/>
            <charset val="204"/>
          </rPr>
          <t>Батарея</t>
        </r>
      </text>
    </comment>
    <comment ref="A75" authorId="0">
      <text>
        <r>
          <rPr>
            <sz val="9"/>
            <color indexed="81"/>
            <rFont val="Tahoma"/>
            <family val="2"/>
            <charset val="204"/>
          </rPr>
          <t>Скорость снаряда 4</t>
        </r>
      </text>
    </comment>
    <comment ref="B75" authorId="1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75" authorId="1">
      <text>
        <r>
          <rPr>
            <sz val="9"/>
            <color indexed="81"/>
            <rFont val="Tahoma"/>
            <family val="2"/>
            <charset val="204"/>
          </rPr>
          <t xml:space="preserve">Скрипт с пенальти за недостаточный уровень характеристик взят из мода «Arcanum Weapon &amp; Technology Redux»
</t>
        </r>
      </text>
    </comment>
    <comment ref="I75" authorId="1">
      <text>
        <r>
          <rPr>
            <sz val="9"/>
            <color indexed="81"/>
            <rFont val="Tahoma"/>
            <family val="2"/>
            <charset val="204"/>
          </rPr>
          <t>Батарея</t>
        </r>
      </text>
    </comment>
    <comment ref="A76" authorId="0">
      <text>
        <r>
          <rPr>
            <sz val="9"/>
            <color indexed="81"/>
            <rFont val="Tahoma"/>
            <family val="2"/>
            <charset val="204"/>
          </rPr>
          <t>Скорость снаряда 1</t>
        </r>
      </text>
    </comment>
    <comment ref="I76" authorId="1">
      <text>
        <r>
          <rPr>
            <sz val="9"/>
            <color indexed="81"/>
            <rFont val="Tahoma"/>
            <family val="2"/>
            <charset val="204"/>
          </rPr>
          <t>Топливо</t>
        </r>
      </text>
    </comment>
    <comment ref="A77" authorId="0">
      <text>
        <r>
          <rPr>
            <sz val="9"/>
            <color indexed="81"/>
            <rFont val="Tahoma"/>
            <family val="2"/>
            <charset val="204"/>
          </rPr>
          <t>Скорость снаряда 3</t>
        </r>
      </text>
    </comment>
    <comment ref="B77" authorId="0">
      <text>
        <r>
          <rPr>
            <sz val="9"/>
            <color indexed="81"/>
            <rFont val="Tahoma"/>
            <family val="2"/>
            <charset val="204"/>
          </rPr>
          <t>Удален звук заряжания</t>
        </r>
      </text>
    </comment>
    <comment ref="C77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I77" authorId="1">
      <text>
        <r>
          <rPr>
            <sz val="9"/>
            <color indexed="81"/>
            <rFont val="Tahoma"/>
            <family val="2"/>
            <charset val="204"/>
          </rPr>
          <t>Топливо</t>
        </r>
      </text>
    </comment>
    <comment ref="C7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O79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  <comment ref="C81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O81" authorId="1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</commentList>
</comments>
</file>

<file path=xl/comments3.xml><?xml version="1.0" encoding="utf-8"?>
<comments xmlns="http://schemas.openxmlformats.org/spreadsheetml/2006/main">
  <authors>
    <author>Владимир</author>
    <author>Кралько Владимир</author>
  </authors>
  <commentList>
    <comment ref="A2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на всех объектах, попавших в радиус действия</t>
        </r>
      </text>
    </comment>
    <comment ref="B2" authorId="0">
      <text>
        <r>
          <rPr>
            <sz val="9"/>
            <color indexed="81"/>
            <rFont val="Tahoma"/>
            <family val="2"/>
            <charset val="204"/>
          </rPr>
          <t>Анимация в виде взрыва</t>
        </r>
      </text>
    </comment>
    <comment ref="C2" authorId="0">
      <text>
        <r>
          <rPr>
            <sz val="9"/>
            <color indexed="81"/>
            <rFont val="Tahoma"/>
            <family val="2"/>
            <charset val="204"/>
          </rPr>
          <t>Освещает в радиусе 1 клетки</t>
        </r>
      </text>
    </comment>
    <comment ref="A3" authorId="0">
      <text>
        <r>
          <rPr>
            <sz val="9"/>
            <color indexed="81"/>
            <rFont val="Tahoma"/>
            <family val="2"/>
            <charset val="204"/>
          </rPr>
          <t>Звук и анимация пламени воспроизводятся на всех объектах, попавших в радиус действия</t>
        </r>
      </text>
    </comment>
    <comment ref="B3" authorId="0">
      <text>
        <r>
          <rPr>
            <sz val="9"/>
            <color indexed="81"/>
            <rFont val="Tahoma"/>
            <family val="2"/>
            <charset val="204"/>
          </rPr>
          <t>Анимация в виде пламени</t>
        </r>
      </text>
    </comment>
    <comment ref="C3" authorId="0">
      <text>
        <r>
          <rPr>
            <sz val="9"/>
            <color indexed="81"/>
            <rFont val="Tahoma"/>
            <family val="2"/>
            <charset val="204"/>
          </rPr>
          <t>Освещает в радиусе 2 клеток</t>
        </r>
      </text>
    </comment>
    <comment ref="C4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100%. Освещает в радиусе 1 клетки.</t>
        </r>
      </text>
    </comment>
    <comment ref="B5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5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75%. Освещает в радиусе 4 клеток.</t>
        </r>
      </text>
    </comment>
    <comment ref="B7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8" authorId="0">
      <text>
        <r>
          <rPr>
            <sz val="9"/>
            <color indexed="81"/>
            <rFont val="Tahoma"/>
            <family val="2"/>
            <charset val="204"/>
          </rPr>
          <t>Освещает в радиусе 1 клетки</t>
        </r>
      </text>
    </comment>
    <comment ref="C9" authorId="0">
      <text>
        <r>
          <rPr>
            <sz val="9"/>
            <color indexed="81"/>
            <rFont val="Tahoma"/>
            <family val="2"/>
            <charset val="204"/>
          </rPr>
          <t>Освещает в радиусе 2 клеток</t>
        </r>
      </text>
    </comment>
    <comment ref="A10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на всех объектах, попавших в радиус действия</t>
        </r>
      </text>
    </comment>
    <comment ref="C10" authorId="0">
      <text>
        <r>
          <rPr>
            <sz val="9"/>
            <color indexed="81"/>
            <rFont val="Tahoma"/>
            <family val="2"/>
            <charset val="204"/>
          </rPr>
          <t>Освещает в радиусе 1 клетки</t>
        </r>
      </text>
    </comment>
    <comment ref="A11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только в точке попадания гранаты</t>
        </r>
      </text>
    </comment>
    <comment ref="C11" authorId="0">
      <text>
        <r>
          <rPr>
            <sz val="9"/>
            <color indexed="81"/>
            <rFont val="Tahoma"/>
            <family val="2"/>
            <charset val="204"/>
          </rPr>
          <t>Освещает в радиусе 2 клеток</t>
        </r>
      </text>
    </comment>
    <comment ref="A12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на всех объектах, попавших в радиус действия</t>
        </r>
      </text>
    </comment>
    <comment ref="C12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100%. Освещает в радиусе 1 клетки.</t>
        </r>
      </text>
    </comment>
    <comment ref="A13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только в точке попадания гранаты</t>
        </r>
      </text>
    </comment>
    <comment ref="C13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125%. Освещает в радиусе 3 клеток.</t>
        </r>
      </text>
    </comment>
    <comment ref="A14" authorId="0">
      <text>
        <r>
          <rPr>
            <sz val="9"/>
            <color indexed="81"/>
            <rFont val="Tahoma"/>
            <family val="2"/>
            <charset val="204"/>
          </rPr>
          <t>Анимация электроразряда воспроизводится на всех объектах, попавших в радиус действия</t>
        </r>
      </text>
    </comment>
    <comment ref="C14" authorId="0">
      <text>
        <r>
          <rPr>
            <sz val="9"/>
            <color indexed="81"/>
            <rFont val="Tahoma"/>
            <family val="2"/>
            <charset val="204"/>
          </rPr>
          <t>Освещает в радиусе 2 клеток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Звук и анимация электроразряда воспроизводится на всех объектах, попавших в радиус действия</t>
        </r>
      </text>
    </comment>
    <comment ref="C15" authorId="0">
      <text>
        <r>
          <rPr>
            <sz val="9"/>
            <color indexed="81"/>
            <rFont val="Tahoma"/>
            <family val="2"/>
            <charset val="204"/>
          </rPr>
          <t>Освещает в радиусе 2 клеток</t>
        </r>
      </text>
    </comment>
    <comment ref="B17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O17" authorId="0">
      <text>
        <r>
          <rPr>
            <sz val="9"/>
            <color indexed="81"/>
            <rFont val="Tahoma"/>
            <family val="2"/>
            <charset val="204"/>
          </rPr>
          <t>Не вызывает враждебную реакцию</t>
        </r>
      </text>
    </comment>
    <comment ref="B19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O19" authorId="0">
      <text>
        <r>
          <rPr>
            <sz val="9"/>
            <color indexed="81"/>
            <rFont val="Tahoma"/>
            <family val="2"/>
            <charset val="204"/>
          </rPr>
          <t>Не вызывает враждебную реакцию</t>
        </r>
      </text>
    </comment>
    <comment ref="A20" authorId="1">
      <text>
        <r>
          <rPr>
            <sz val="9"/>
            <color indexed="81"/>
            <rFont val="Tahoma"/>
            <family val="2"/>
            <charset val="204"/>
          </rPr>
          <t>Цвет газа белый</t>
        </r>
      </text>
    </comment>
    <comment ref="N20" authorId="0">
      <text>
        <r>
          <rPr>
            <sz val="9"/>
            <color indexed="81"/>
            <rFont val="Tahoma"/>
            <family val="2"/>
            <charset val="204"/>
          </rPr>
          <t>Урон наносится каждую секунду в области действия</t>
        </r>
      </text>
    </comment>
    <comment ref="A21" authorId="0">
      <text>
        <r>
          <rPr>
            <sz val="9"/>
            <color indexed="81"/>
            <rFont val="Tahoma"/>
            <family val="2"/>
            <charset val="204"/>
          </rPr>
          <t>Цвет газа зеленый</t>
        </r>
      </text>
    </comment>
    <comment ref="B21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J21" authorId="0">
      <text>
        <r>
          <rPr>
            <sz val="9"/>
            <color indexed="81"/>
            <rFont val="Tahoma"/>
            <family val="2"/>
            <charset val="204"/>
          </rPr>
          <t>Кислота наносит полный урон броне и треть урона здоровью существ. Урон наносится каждую секунду в области действия.</t>
        </r>
      </text>
    </comment>
    <comment ref="N21" authorId="0">
      <text>
        <r>
          <rPr>
            <sz val="9"/>
            <color indexed="81"/>
            <rFont val="Tahoma"/>
            <family val="2"/>
            <charset val="204"/>
          </rPr>
          <t>Урон наносится каждую секунду в области действия</t>
        </r>
      </text>
    </comment>
    <comment ref="O21" authorId="0">
      <text>
        <r>
          <rPr>
            <sz val="9"/>
            <color indexed="81"/>
            <rFont val="Tahoma"/>
            <family val="2"/>
            <charset val="204"/>
          </rPr>
          <t>Повреждает не только доспех, но также шлем, перчатки, сапоги, амулет, кольца, оружие и щит</t>
        </r>
      </text>
    </comment>
    <comment ref="A22" authorId="1">
      <text>
        <r>
          <rPr>
            <sz val="9"/>
            <color indexed="81"/>
            <rFont val="Tahoma"/>
            <family val="2"/>
            <charset val="204"/>
          </rPr>
          <t>Цвет газа белый</t>
        </r>
      </text>
    </comment>
    <comment ref="A23" authorId="0">
      <text>
        <r>
          <rPr>
            <sz val="9"/>
            <color indexed="81"/>
            <rFont val="Tahoma"/>
            <family val="2"/>
            <charset val="204"/>
          </rPr>
          <t>Цвет газа синий</t>
        </r>
      </text>
    </comment>
    <comment ref="B23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L24" authorId="0">
      <text>
        <r>
          <rPr>
            <sz val="9"/>
            <color indexed="81"/>
            <rFont val="Tahoma"/>
            <family val="2"/>
            <charset val="204"/>
          </rPr>
          <t>Урон наносится каждые 0,2 сек. в области действия</t>
        </r>
      </text>
    </comment>
    <comment ref="C25" authorId="0">
      <text>
        <r>
          <rPr>
            <sz val="9"/>
            <color indexed="81"/>
            <rFont val="Tahoma"/>
            <family val="2"/>
            <charset val="204"/>
          </rPr>
          <t>Добавлено освещение на расстоянии 3 клеток вокруг пламени (позаимствовано из Ultimate Nightmare Mod)</t>
        </r>
      </text>
    </comment>
    <comment ref="L25" authorId="0">
      <text>
        <r>
          <rPr>
            <sz val="9"/>
            <color indexed="81"/>
            <rFont val="Tahoma"/>
            <family val="2"/>
            <charset val="204"/>
          </rPr>
          <t>Урон наносится каждые 0,2 сек. в области действия</t>
        </r>
      </text>
    </comment>
    <comment ref="A26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на всех объектах, попавших в радиус действия</t>
        </r>
      </text>
    </comment>
    <comment ref="C26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100%. Освещает в радиусе 1 клетки.</t>
        </r>
      </text>
    </comment>
    <comment ref="A27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только в точке где находится динамит</t>
        </r>
      </text>
    </comment>
    <comment ref="B27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27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150%. Освещает в радиусе 5 клеток.</t>
        </r>
      </text>
    </comment>
    <comment ref="A28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на всех объектах, попавших в радиус действия</t>
        </r>
      </text>
    </comment>
    <comment ref="C28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100%. Освещает в радиусе 1 клетки.</t>
        </r>
      </text>
    </comment>
    <comment ref="A29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только в точке где находится бомба</t>
        </r>
      </text>
    </comment>
    <comment ref="B29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29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150%. Освещает в радиусе 5 клеток.</t>
        </r>
      </text>
    </comment>
    <comment ref="A30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на всех объектах, попавших в радиус действия</t>
        </r>
      </text>
    </comment>
    <comment ref="C30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100%. Освещает в радиусе 1 клетки.</t>
        </r>
      </text>
    </comment>
    <comment ref="A31" authorId="0">
      <text>
        <r>
          <rPr>
            <sz val="9"/>
            <color indexed="81"/>
            <rFont val="Tahoma"/>
            <family val="2"/>
            <charset val="204"/>
          </rPr>
          <t>Звук и анимация взрыва воспроизводятся только в точке где находится пластид</t>
        </r>
      </text>
    </comment>
    <comment ref="B31" authorId="0">
      <text>
        <r>
          <rPr>
            <sz val="9"/>
            <color indexed="81"/>
            <rFont val="Tahoma"/>
            <family val="2"/>
            <charset val="204"/>
          </rPr>
          <t>Звук взят из мода «Arcanum Weapon &amp; Technology Redux»</t>
        </r>
      </text>
    </comment>
    <comment ref="C31" authorId="1">
      <text>
        <r>
          <rPr>
            <sz val="9"/>
            <color indexed="81"/>
            <rFont val="Tahoma"/>
            <family val="2"/>
            <charset val="204"/>
          </rPr>
          <t>Размер анимации взрыва 150%. Освещает в радиусе 5 клеток.</t>
        </r>
      </text>
    </comment>
    <comment ref="A32" authorId="1">
      <text>
        <r>
          <rPr>
            <sz val="9"/>
            <color indexed="81"/>
            <rFont val="Tahoma"/>
            <family val="2"/>
            <charset val="204"/>
          </rPr>
          <t>Анимация воспроизводится на всех объектах, попавших в радиус действия</t>
        </r>
      </text>
    </comment>
    <comment ref="J32" authorId="1">
      <text>
        <r>
          <rPr>
            <sz val="9"/>
            <color indexed="81"/>
            <rFont val="Tahoma"/>
            <family val="2"/>
            <charset val="204"/>
          </rPr>
          <t>Кислота наносит полный урон броне и треть урона здоровью существ</t>
        </r>
      </text>
    </comment>
    <comment ref="O32" authorId="0">
      <text>
        <r>
          <rPr>
            <sz val="9"/>
            <color indexed="81"/>
            <rFont val="Tahoma"/>
            <family val="2"/>
            <charset val="204"/>
          </rPr>
          <t>Повреждает не только доспех, но также шлем, перчатки, сапоги, амулет, кольца, оружие и щит</t>
        </r>
      </text>
    </comment>
    <comment ref="A33" authorId="1">
      <text>
        <r>
          <rPr>
            <sz val="9"/>
            <color indexed="81"/>
            <rFont val="Tahoma"/>
            <family val="2"/>
            <charset val="204"/>
          </rPr>
          <t>Звук и анимация воспроизводятся в точке попадания кислоты, а так же на объектах, попавших в радиус действия</t>
        </r>
      </text>
    </comment>
    <comment ref="J33" authorId="1">
      <text>
        <r>
          <rPr>
            <sz val="9"/>
            <color indexed="81"/>
            <rFont val="Tahoma"/>
            <family val="2"/>
            <charset val="204"/>
          </rPr>
          <t>Кислота наносит полный урон броне и треть урона здоровью существ</t>
        </r>
      </text>
    </comment>
    <comment ref="O33" authorId="0">
      <text>
        <r>
          <rPr>
            <sz val="9"/>
            <color indexed="81"/>
            <rFont val="Tahoma"/>
            <family val="2"/>
            <charset val="204"/>
          </rPr>
          <t>Повреждает не только доспех, но также шлем, перчатки, сапоги, амулет, кольца, оружие и щит</t>
        </r>
      </text>
    </comment>
    <comment ref="O34" authorId="0">
      <text>
        <r>
          <rPr>
            <sz val="9"/>
            <color indexed="81"/>
            <rFont val="Tahoma"/>
            <family val="2"/>
            <charset val="204"/>
          </rPr>
          <t>Баг</t>
        </r>
      </text>
    </comment>
    <comment ref="A42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43" authorId="0">
      <text>
        <r>
          <rPr>
            <sz val="9"/>
            <color indexed="81"/>
            <rFont val="Tahoma"/>
            <family val="2"/>
            <charset val="204"/>
          </rPr>
          <t>Созданы уникальные изображения в инвентаре и в руках героя
При использовании отображается количество батарей в окне патронов</t>
        </r>
      </text>
    </comment>
    <comment ref="D43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M43" authorId="0">
      <text>
        <r>
          <rPr>
            <sz val="9"/>
            <color indexed="81"/>
            <rFont val="Tahoma"/>
            <family val="2"/>
            <charset val="204"/>
          </rPr>
          <t>Без батарей не наносится урон электричеством</t>
        </r>
      </text>
    </comment>
    <comment ref="O43" authorId="1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A47" authorId="0">
      <text>
        <r>
          <rPr>
            <sz val="9"/>
            <color indexed="81"/>
            <rFont val="Tahoma"/>
            <family val="2"/>
            <charset val="204"/>
          </rPr>
          <t>Использовано изображение Чакрама</t>
        </r>
      </text>
    </comment>
    <comment ref="A49" authorId="0">
      <text>
        <r>
          <rPr>
            <sz val="9"/>
            <color indexed="81"/>
            <rFont val="Tahoma"/>
            <family val="2"/>
            <charset val="204"/>
          </rPr>
          <t>Изображение сделано на основе Чакрама</t>
        </r>
      </text>
    </comment>
    <comment ref="A50" authorId="0">
      <text>
        <r>
          <rPr>
            <sz val="9"/>
            <color indexed="81"/>
            <rFont val="Tahoma"/>
            <family val="2"/>
            <charset val="204"/>
          </rPr>
          <t>Изображение сделано на основе Зубчатого Чакрама</t>
        </r>
      </text>
    </comment>
    <comment ref="A51" authorId="0">
      <text>
        <r>
          <rPr>
            <sz val="9"/>
            <color indexed="81"/>
            <rFont val="Tahoma"/>
            <family val="2"/>
            <charset val="204"/>
          </rPr>
          <t>Использовано изображение Зубчатого Чакрама</t>
        </r>
      </text>
    </comment>
    <comment ref="A52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75</t>
        </r>
      </text>
    </comment>
    <comment ref="A53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100</t>
        </r>
      </text>
    </comment>
  </commentList>
</comments>
</file>

<file path=xl/comments4.xml><?xml version="1.0" encoding="utf-8"?>
<comments xmlns="http://schemas.openxmlformats.org/spreadsheetml/2006/main">
  <authors>
    <author>Владимир</author>
    <author>Кралько Владимир</author>
  </authors>
  <commentList>
    <comment ref="A10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15</t>
        </r>
      </text>
    </comment>
    <comment ref="A11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75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Изображение в инвентаре немного увеличено</t>
        </r>
      </text>
    </comment>
    <comment ref="A22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B23" authorId="1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N23" authorId="0">
      <text>
        <r>
          <rPr>
            <sz val="9"/>
            <color indexed="81"/>
            <rFont val="Tahoma"/>
            <family val="2"/>
            <charset val="204"/>
          </rPr>
          <t>Скрипт с критическим попаданием взят из мода «Arcanum Weapon &amp; Technology Redux»</t>
        </r>
      </text>
    </comment>
    <comment ref="B27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A29" authorId="0">
      <text>
        <r>
          <rPr>
            <sz val="9"/>
            <color indexed="81"/>
            <rFont val="Tahoma"/>
            <family val="2"/>
            <charset val="204"/>
          </rPr>
          <t>Добавлен звук повреждения огнем</t>
        </r>
      </text>
    </comment>
    <comment ref="B29" authorId="0">
      <text>
        <r>
          <rPr>
            <sz val="9"/>
            <color indexed="81"/>
            <rFont val="Tahoma"/>
            <family val="2"/>
            <charset val="204"/>
          </rPr>
          <t>Скрипт с пенальти за недостаточный уровень характеристик взят из мода «Arcanum Weapon &amp; Technology Redux»</t>
        </r>
      </text>
    </comment>
    <comment ref="K29" authorId="0">
      <text>
        <r>
          <rPr>
            <sz val="9"/>
            <color indexed="81"/>
            <rFont val="Tahoma"/>
            <family val="2"/>
            <charset val="204"/>
          </rPr>
          <t>Без топлива не наносится урон огнем</t>
        </r>
      </text>
    </comment>
    <comment ref="N29" authorId="0">
      <text>
        <r>
          <rPr>
            <sz val="9"/>
            <color indexed="81"/>
            <rFont val="Tahoma"/>
            <family val="2"/>
            <charset val="204"/>
          </rPr>
          <t>Расход топлива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</commentList>
</comments>
</file>

<file path=xl/comments5.xml><?xml version="1.0" encoding="utf-8"?>
<comments xmlns="http://schemas.openxmlformats.org/spreadsheetml/2006/main">
  <authors>
    <author>Владимир</author>
  </authors>
  <commentList>
    <comment ref="A17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черный цвет</t>
        </r>
      </text>
    </comment>
    <comment ref="A27" authorId="0">
      <text>
        <r>
          <rPr>
            <sz val="9"/>
            <color indexed="81"/>
            <rFont val="Tahoma"/>
            <family val="2"/>
            <charset val="204"/>
          </rPr>
          <t>Взято изображение Шерстяной Куртки (коричневатый цвет), а на герое она теперь имеет не черный, а красный цвет</t>
        </r>
      </text>
    </comment>
    <comment ref="A31" authorId="0">
      <text>
        <r>
          <rPr>
            <sz val="9"/>
            <color indexed="81"/>
            <rFont val="Tahoma"/>
            <family val="2"/>
            <charset val="204"/>
          </rPr>
          <t>Взято изображение Тяжелой Шерстяной Куртки (светло зеленый цвет)</t>
        </r>
      </text>
    </comment>
    <comment ref="A33" authorId="0">
      <text>
        <r>
          <rPr>
            <sz val="9"/>
            <color indexed="81"/>
            <rFont val="Tahoma"/>
            <family val="2"/>
            <charset val="204"/>
          </rPr>
          <t>Взято изображение Замшевой Куртки (темно зеленый цвет)</t>
        </r>
      </text>
    </comment>
    <comment ref="A41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черный цвет</t>
        </r>
      </text>
    </comment>
    <comment ref="L43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A45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черный цвет</t>
        </r>
      </text>
    </comment>
    <comment ref="A48" authorId="0">
      <text>
        <r>
          <rPr>
            <sz val="9"/>
            <color indexed="81"/>
            <rFont val="Tahoma"/>
            <family val="2"/>
            <charset val="204"/>
          </rPr>
          <t>Добавлена в продажу у сельских и городских Кузнецов</t>
        </r>
      </text>
    </comment>
    <comment ref="A53" authorId="0">
      <text>
        <r>
          <rPr>
            <sz val="9"/>
            <color indexed="81"/>
            <rFont val="Tahoma"/>
            <family val="2"/>
            <charset val="204"/>
          </rPr>
          <t>Добавлена в продажу у городских Кузнецов и на Черном рынке</t>
        </r>
      </text>
    </comment>
    <comment ref="A61" authorId="0">
      <text>
        <r>
          <rPr>
            <sz val="9"/>
            <color indexed="81"/>
            <rFont val="Tahoma"/>
            <family val="2"/>
            <charset val="204"/>
          </rPr>
          <t>Изображение взято от Варварской Брони Ужаса</t>
        </r>
      </text>
    </comment>
    <comment ref="A65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темно-серый цвет</t>
        </r>
      </text>
    </comment>
    <comment ref="A66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68" authorId="0">
      <text>
        <r>
          <rPr>
            <sz val="9"/>
            <color indexed="81"/>
            <rFont val="Tahoma"/>
            <family val="2"/>
            <charset val="204"/>
          </rPr>
          <t>Вместо изображения Машинной Брони взято изображение Пластинчатой Брони</t>
        </r>
      </text>
    </comment>
    <comment ref="A70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желтый цвет</t>
        </r>
      </text>
    </comment>
    <comment ref="A73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L73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A77" authorId="0">
      <text>
        <r>
          <rPr>
            <sz val="9"/>
            <color indexed="81"/>
            <rFont val="Tahoma"/>
            <family val="2"/>
            <charset val="204"/>
          </rPr>
          <t>Будучи надетой выглядит как технологическая броня, то же касается и ее внешнего вида на земле</t>
        </r>
      </text>
    </comment>
    <comment ref="A79" authorId="0">
      <text>
        <r>
          <rPr>
            <sz val="9"/>
            <color indexed="81"/>
            <rFont val="Tahoma"/>
            <family val="2"/>
            <charset val="204"/>
          </rPr>
          <t>При работе брони наблюдается визуальный эффект в виде дыма от сгорающего топлива</t>
        </r>
      </text>
    </comment>
    <comment ref="L79" authorId="0">
      <text>
        <r>
          <rPr>
            <sz val="9"/>
            <color indexed="81"/>
            <rFont val="Tahoma"/>
            <family val="2"/>
            <charset val="204"/>
          </rPr>
          <t>Бонус зависит от технологической склонности и совсем не начисляется при отсутствии топлива (увеличивает физическую силу, но не здоровье)</t>
        </r>
      </text>
    </comment>
    <comment ref="A81" authorId="0">
      <text>
        <r>
          <rPr>
            <sz val="9"/>
            <color indexed="81"/>
            <rFont val="Tahoma"/>
            <family val="2"/>
            <charset val="204"/>
          </rPr>
          <t>При работе брони наблюдается визуальный эффект в виде дыма от сгорающего топлива</t>
        </r>
      </text>
    </comment>
    <comment ref="L81" authorId="0">
      <text>
        <r>
          <rPr>
            <sz val="9"/>
            <color indexed="81"/>
            <rFont val="Tahoma"/>
            <family val="2"/>
            <charset val="204"/>
          </rPr>
          <t>Бонус зависит от технологической склонности и совсем не начисляется при отсутствии топлива (увеличивает физическую силу, но не здоровье)</t>
        </r>
      </text>
    </comment>
    <comment ref="L82" authorId="0">
      <text>
        <r>
          <rPr>
            <sz val="9"/>
            <color indexed="81"/>
            <rFont val="Tahoma"/>
            <family val="2"/>
            <charset val="204"/>
          </rPr>
          <t>Бонус не зависит ни от технологической склонности, ни от наличия в инвентаре топлива (увеличивает физическую силу, но не здоровье)</t>
        </r>
      </text>
    </comment>
    <comment ref="A83" authorId="0">
      <text>
        <r>
          <rPr>
            <sz val="9"/>
            <color indexed="81"/>
            <rFont val="Tahoma"/>
            <family val="2"/>
            <charset val="204"/>
          </rPr>
          <t>При работе брони наблюдается визуальный эффект в виде дыма от сгорающего топлива</t>
        </r>
      </text>
    </comment>
    <comment ref="L83" authorId="0">
      <text>
        <r>
          <rPr>
            <sz val="9"/>
            <color indexed="81"/>
            <rFont val="Tahoma"/>
            <family val="2"/>
            <charset val="204"/>
          </rPr>
          <t>Бонус зависит от технологической склонности и совсем не начисляется при отсутствии топлива (увеличивает физическую силу, но не здоровье)</t>
        </r>
      </text>
    </comment>
    <comment ref="A84" authorId="0">
      <text>
        <r>
          <rPr>
            <sz val="9"/>
            <color indexed="81"/>
            <rFont val="Tahoma"/>
            <family val="2"/>
            <charset val="204"/>
          </rPr>
          <t>Находятся в тронном зале Железного Клана</t>
        </r>
      </text>
    </comment>
    <comment ref="A85" authorId="0">
      <text>
        <r>
          <rPr>
            <sz val="9"/>
            <color indexed="81"/>
            <rFont val="Tahoma"/>
            <family val="2"/>
            <charset val="204"/>
          </rPr>
          <t>Находятся в тронном зале Железного Клана</t>
        </r>
      </text>
    </comment>
  </commentList>
</comments>
</file>

<file path=xl/comments6.xml><?xml version="1.0" encoding="utf-8"?>
<comments xmlns="http://schemas.openxmlformats.org/spreadsheetml/2006/main">
  <authors>
    <author>Владимир</author>
    <author>Кралько Владимир</author>
  </authors>
  <commentList>
    <comment ref="A2" authorId="0">
      <text>
        <r>
          <rPr>
            <sz val="9"/>
            <color indexed="81"/>
            <rFont val="Tahoma"/>
            <family val="2"/>
            <charset val="204"/>
          </rPr>
          <t>Находится у портного в Черном Корне</t>
        </r>
      </text>
    </comment>
    <comment ref="A3" authorId="0">
      <text>
        <r>
          <rPr>
            <sz val="9"/>
            <color indexed="81"/>
            <rFont val="Tahoma"/>
            <family val="2"/>
            <charset val="204"/>
          </rPr>
          <t>Находится у портного в Черном Корне</t>
        </r>
      </text>
    </comment>
    <comment ref="A7" authorId="0">
      <text>
        <r>
          <rPr>
            <sz val="9"/>
            <color indexed="81"/>
            <rFont val="Tahoma"/>
            <family val="2"/>
            <charset val="204"/>
          </rPr>
          <t>Цвет изменен на желтый</t>
        </r>
      </text>
    </comment>
    <comment ref="A13" authorId="0">
      <text>
        <r>
          <rPr>
            <sz val="9"/>
            <color indexed="81"/>
            <rFont val="Tahoma"/>
            <family val="2"/>
            <charset val="204"/>
          </rPr>
          <t>Цвет изменен на черный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Цвет куртки большого размера изменен с зеленого на коричневатый, а на герое она теперь имеет не черный, а красный цвет</t>
        </r>
      </text>
    </comment>
    <comment ref="A27" authorId="1">
      <text>
        <r>
          <rPr>
            <sz val="9"/>
            <color indexed="81"/>
            <rFont val="Tahoma"/>
            <family val="2"/>
            <charset val="204"/>
          </rPr>
          <t>Использовано изображение Кожаной Брони Убийцы</t>
        </r>
      </text>
    </comment>
    <comment ref="A29" authorId="1">
      <text>
        <r>
          <rPr>
            <sz val="9"/>
            <color indexed="81"/>
            <rFont val="Tahoma"/>
            <family val="2"/>
            <charset val="204"/>
          </rPr>
          <t>Использовано изображение Малой Кожи Дракона
Изображение на земле имеет серый цвет</t>
        </r>
      </text>
    </comment>
    <comment ref="A30" authorId="1">
      <text>
        <r>
          <rPr>
            <sz val="9"/>
            <color indexed="81"/>
            <rFont val="Tahoma"/>
            <family val="2"/>
            <charset val="204"/>
          </rPr>
          <t>Использовано изображение Кожи Дракона
Изображение на земле имеет серый цвет</t>
        </r>
      </text>
    </comment>
    <comment ref="A31" authorId="1">
      <text>
        <r>
          <rPr>
            <sz val="9"/>
            <color indexed="81"/>
            <rFont val="Tahoma"/>
            <family val="2"/>
            <charset val="204"/>
          </rPr>
          <t>Использовано изображение Большой Кожи Дракона
Изображение на земле имеет серый цвет</t>
        </r>
      </text>
    </comment>
    <comment ref="A35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серо-голубой цвет</t>
        </r>
      </text>
    </comment>
    <comment ref="A37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серо-голубой цвет</t>
        </r>
      </text>
    </comment>
    <comment ref="A39" authorId="0">
      <text>
        <r>
          <rPr>
            <sz val="9"/>
            <color indexed="81"/>
            <rFont val="Tahoma"/>
            <family val="2"/>
            <charset val="204"/>
          </rPr>
          <t>Изображение на земле имеет серый цвет</t>
        </r>
      </text>
    </comment>
    <comment ref="A59" authorId="0">
      <text>
        <r>
          <rPr>
            <sz val="9"/>
            <color indexed="81"/>
            <rFont val="Tahoma"/>
            <family val="2"/>
            <charset val="204"/>
          </rPr>
          <t>Использовано изображение Стальной Варварской Брони</t>
        </r>
      </text>
    </comment>
    <comment ref="A70" authorId="0">
      <text>
        <r>
          <rPr>
            <sz val="9"/>
            <color indexed="81"/>
            <rFont val="Tahoma"/>
            <family val="2"/>
            <charset val="204"/>
          </rPr>
          <t>Создано новое изображение в инвентаре и на земле</t>
        </r>
      </text>
    </comment>
  </commentList>
</comments>
</file>

<file path=xl/comments7.xml><?xml version="1.0" encoding="utf-8"?>
<comments xmlns="http://schemas.openxmlformats.org/spreadsheetml/2006/main">
  <authors>
    <author>Владимир</author>
    <author>Кралько Владимир</author>
  </authors>
  <commentList>
    <comment ref="K10" authorId="0">
      <text>
        <r>
          <rPr>
            <sz val="9"/>
            <color indexed="81"/>
            <rFont val="Tahoma"/>
            <family val="2"/>
            <charset val="204"/>
          </rPr>
          <t>Реально щит не дает бонуса, указанного в его описании</t>
        </r>
      </text>
    </comment>
    <comment ref="K13" authorId="0">
      <text>
        <r>
          <rPr>
            <sz val="9"/>
            <color indexed="81"/>
            <rFont val="Tahoma"/>
            <family val="2"/>
            <charset val="204"/>
          </rPr>
          <t>Добавлена анимация и звук электроудара</t>
        </r>
      </text>
    </comment>
    <comment ref="A14" authorId="0">
      <text>
        <r>
          <rPr>
            <sz val="9"/>
            <color indexed="81"/>
            <rFont val="Tahoma"/>
            <family val="2"/>
            <charset val="204"/>
          </rPr>
          <t>Находится у Кузнеца в Роузборро</t>
        </r>
      </text>
    </comment>
    <comment ref="K14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3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Находится у Кузнеца в Роузборро</t>
        </r>
      </text>
    </comment>
    <comment ref="K15" authorId="1">
      <text>
        <r>
          <rPr>
            <sz val="9"/>
            <color indexed="81"/>
            <rFont val="Tahoma"/>
            <family val="2"/>
            <charset val="204"/>
          </rPr>
          <t>Количество использований 5</t>
        </r>
      </text>
    </comment>
    <comment ref="A20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F20" authorId="0">
      <text>
        <r>
          <rPr>
            <sz val="9"/>
            <color indexed="81"/>
            <rFont val="Tahoma"/>
            <family val="2"/>
            <charset val="204"/>
          </rPr>
          <t>Без батарей не будет анимации магнитного поля, а так же бонуса к сопротивлению повреждениям.
Сила эффекта зависит от Склонности персонажа.</t>
        </r>
      </text>
    </comment>
    <comment ref="A25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K27" authorId="0">
      <text>
        <r>
          <rPr>
            <sz val="9"/>
            <color indexed="81"/>
            <rFont val="Tahoma"/>
            <family val="2"/>
            <charset val="204"/>
          </rPr>
          <t>Идея и реализация взята из мода «Arcanum 1.5 Expansion (2012)»</t>
        </r>
      </text>
    </comment>
    <comment ref="A30" authorId="0">
      <text>
        <r>
          <rPr>
            <sz val="9"/>
            <color indexed="81"/>
            <rFont val="Tahoma"/>
            <family val="2"/>
            <charset val="204"/>
          </rPr>
          <t>Находится у Кузнеца в Тихих Водах</t>
        </r>
      </text>
    </comment>
    <comment ref="A31" authorId="0">
      <text>
        <r>
          <rPr>
            <sz val="9"/>
            <color indexed="81"/>
            <rFont val="Tahoma"/>
            <family val="2"/>
            <charset val="204"/>
          </rPr>
          <t>Находится у Кузнеца в Тихих Водах</t>
        </r>
      </text>
    </comment>
    <comment ref="A32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K32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K33" authorId="0">
      <text>
        <r>
          <rPr>
            <sz val="9"/>
            <color indexed="81"/>
            <rFont val="Tahoma"/>
            <family val="2"/>
            <charset val="204"/>
          </rPr>
          <t>Цвет света белый, радиус 1 клетка</t>
        </r>
      </text>
    </comment>
    <comment ref="K34" authorId="0">
      <text>
        <r>
          <rPr>
            <sz val="9"/>
            <color indexed="81"/>
            <rFont val="Tahoma"/>
            <family val="2"/>
            <charset val="204"/>
          </rPr>
          <t>Цвет света желтый, радиус 2 клетки</t>
        </r>
      </text>
    </comment>
    <comment ref="K35" authorId="0">
      <text>
        <r>
          <rPr>
            <sz val="9"/>
            <color indexed="81"/>
            <rFont val="Tahoma"/>
            <family val="2"/>
            <charset val="204"/>
          </rPr>
          <t>Цвет света желтый, радиус 1 клетка</t>
        </r>
      </text>
    </comment>
    <comment ref="K36" authorId="0">
      <text>
        <r>
          <rPr>
            <sz val="9"/>
            <color indexed="81"/>
            <rFont val="Tahoma"/>
            <family val="2"/>
            <charset val="204"/>
          </rPr>
          <t>Цвет света белый, радиус 2 клетки</t>
        </r>
      </text>
    </comment>
    <comment ref="A38" authorId="0">
      <text>
        <r>
          <rPr>
            <sz val="9"/>
            <color indexed="81"/>
            <rFont val="Tahoma"/>
            <family val="2"/>
            <charset val="204"/>
          </rPr>
          <t>На картинке в инвентаре теперь выглядит выключенным</t>
        </r>
      </text>
    </comment>
    <comment ref="K38" authorId="0">
      <text>
        <r>
          <rPr>
            <sz val="9"/>
            <color indexed="81"/>
            <rFont val="Tahoma"/>
            <family val="2"/>
            <charset val="204"/>
          </rPr>
          <t>Действительно обнаруживает любые ловушки, включая магические. В момент расходования батареи издает особый электрический звук.
Расход батарей зависит от Склонности героя: минимальный будет у продвинутого технолога, нейтральный герой расходует на 50% больше, а маг будет иметь увеличение вплоть до 100%</t>
        </r>
      </text>
    </comment>
    <comment ref="A39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K39" authorId="0">
      <text>
        <r>
          <rPr>
            <sz val="9"/>
            <color indexed="81"/>
            <rFont val="Tahoma"/>
            <family val="2"/>
            <charset val="204"/>
          </rPr>
          <t>Действительно обнаруживает любые ловушки, включая магические. В момент расходования батареи издает особый электрический звук.
Расход батарей зависит от Склонности героя: минимальный будет у продвинутого технолога, нейтральный герой расходует на 50% больше, а маг будет иметь увеличение вплоть до 100%</t>
        </r>
      </text>
    </comment>
  </commentList>
</comments>
</file>

<file path=xl/comments8.xml><?xml version="1.0" encoding="utf-8"?>
<comments xmlns="http://schemas.openxmlformats.org/spreadsheetml/2006/main">
  <authors>
    <author>Владимир</author>
  </authors>
  <commentList>
    <comment ref="K7" authorId="0">
      <text>
        <r>
          <rPr>
            <sz val="9"/>
            <color indexed="81"/>
            <rFont val="Tahoma"/>
            <family val="2"/>
            <charset val="204"/>
          </rPr>
          <t>Эффект будет обратным при ношении женщиной</t>
        </r>
      </text>
    </comment>
    <comment ref="K8" authorId="0">
      <text>
        <r>
          <rPr>
            <sz val="9"/>
            <color indexed="81"/>
            <rFont val="Tahoma"/>
            <family val="2"/>
            <charset val="204"/>
          </rPr>
          <t>Реально не требует наличия батарей</t>
        </r>
      </text>
    </comment>
    <comment ref="F9" authorId="0">
      <text>
        <r>
          <rPr>
            <sz val="9"/>
            <color indexed="81"/>
            <rFont val="Tahoma"/>
            <family val="2"/>
            <charset val="204"/>
          </rPr>
          <t>Без батарей не будет анимации магнитного поля, а так же бонуса к сопротивлению повреждениям.
Сила эффекта зависит от Склонности персонажа.</t>
        </r>
      </text>
    </comment>
    <comment ref="K22" authorId="0">
      <text>
        <r>
          <rPr>
            <sz val="9"/>
            <color indexed="81"/>
            <rFont val="Tahoma"/>
            <family val="2"/>
            <charset val="204"/>
          </rPr>
          <t>Цвет света желтый, радиус 1 клетка</t>
        </r>
      </text>
    </comment>
    <comment ref="A23" authorId="0">
      <text>
        <r>
          <rPr>
            <sz val="9"/>
            <color indexed="81"/>
            <rFont val="Tahoma"/>
            <family val="2"/>
            <charset val="204"/>
          </rPr>
          <t>На картинке в инвентаре фонарь теперь выключен</t>
        </r>
      </text>
    </comment>
    <comment ref="K23" authorId="0">
      <text>
        <r>
          <rPr>
            <sz val="9"/>
            <color indexed="81"/>
            <rFont val="Tahoma"/>
            <family val="2"/>
            <charset val="204"/>
          </rPr>
          <t>Цвет света белый, радиус 2 клетки</t>
        </r>
      </text>
    </comment>
    <comment ref="K24" authorId="0">
      <text>
        <r>
          <rPr>
            <sz val="9"/>
            <color indexed="81"/>
            <rFont val="Tahoma"/>
            <family val="2"/>
            <charset val="204"/>
          </rPr>
          <t>Цвет света желтый, радиус 1 клетка</t>
        </r>
      </text>
    </comment>
    <comment ref="K25" authorId="0">
      <text>
        <r>
          <rPr>
            <sz val="9"/>
            <color indexed="81"/>
            <rFont val="Tahoma"/>
            <family val="2"/>
            <charset val="204"/>
          </rPr>
          <t>Цвет света голубой, радиус 1(+2) клетки</t>
        </r>
      </text>
    </comment>
    <comment ref="A28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20</t>
        </r>
      </text>
    </comment>
    <comment ref="A29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30</t>
        </r>
      </text>
    </comment>
  </commentList>
</comments>
</file>

<file path=xl/comments9.xml><?xml version="1.0" encoding="utf-8"?>
<comments xmlns="http://schemas.openxmlformats.org/spreadsheetml/2006/main">
  <authors>
    <author>Владимир</author>
    <author>Кралько Владимир</author>
  </authors>
  <commentList>
    <comment ref="A9" authorId="0">
      <text>
        <r>
          <rPr>
            <sz val="9"/>
            <color indexed="81"/>
            <rFont val="Tahoma"/>
            <family val="2"/>
            <charset val="204"/>
          </rPr>
          <t>Эти перчатки у торговца в начале игры заменены на Кольчужные Перчатки</t>
        </r>
      </text>
    </comment>
    <comment ref="A14" authorId="0">
      <text>
        <r>
          <rPr>
            <sz val="9"/>
            <color indexed="81"/>
            <rFont val="Tahoma"/>
            <family val="2"/>
            <charset val="204"/>
          </rPr>
          <t>Находятся у Магнуса в Таранте</t>
        </r>
      </text>
    </comment>
    <comment ref="L14" authorId="0">
      <text>
        <r>
          <rPr>
            <sz val="9"/>
            <color indexed="81"/>
            <rFont val="Tahoma"/>
            <family val="2"/>
            <charset val="204"/>
          </rPr>
          <t>Бонус к характеристикам получают только Карлики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Находятся у Магнуса в Таранте</t>
        </r>
      </text>
    </comment>
    <comment ref="L15" authorId="0">
      <text>
        <r>
          <rPr>
            <sz val="9"/>
            <color indexed="81"/>
            <rFont val="Tahoma"/>
            <family val="2"/>
            <charset val="204"/>
          </rPr>
          <t>Бонус к характеристикам получают только Карлики</t>
        </r>
      </text>
    </comment>
    <comment ref="A18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24" authorId="0">
      <text>
        <r>
          <rPr>
            <sz val="9"/>
            <color indexed="81"/>
            <rFont val="Tahoma"/>
            <family val="2"/>
            <charset val="204"/>
          </rPr>
          <t>Создано новое изображение</t>
        </r>
      </text>
    </comment>
    <comment ref="A26" authorId="0">
      <text>
        <r>
          <rPr>
            <sz val="9"/>
            <color indexed="81"/>
            <rFont val="Tahoma"/>
            <family val="2"/>
            <charset val="204"/>
          </rPr>
          <t>Взято изображение Перчаток Ловкости, а старое использовано для создания Электро-Рукавиц</t>
        </r>
      </text>
    </comment>
    <comment ref="L28" authorId="0">
      <text>
        <r>
          <rPr>
            <sz val="9"/>
            <color indexed="81"/>
            <rFont val="Tahoma"/>
            <family val="2"/>
            <charset val="204"/>
          </rPr>
          <t>Работает на оружие в руках персонажа</t>
        </r>
      </text>
    </comment>
    <comment ref="L30" authorId="0">
      <text>
        <r>
          <rPr>
            <sz val="9"/>
            <color indexed="81"/>
            <rFont val="Tahoma"/>
            <family val="2"/>
            <charset val="204"/>
          </rPr>
          <t>Работает на оружие в руках персонажа</t>
        </r>
      </text>
    </comment>
    <comment ref="L32" authorId="0">
      <text>
        <r>
          <rPr>
            <sz val="9"/>
            <color indexed="81"/>
            <rFont val="Tahoma"/>
            <family val="2"/>
            <charset val="204"/>
          </rPr>
          <t>Работает на оружие в руках персонажа</t>
        </r>
      </text>
    </comment>
    <comment ref="L34" authorId="0">
      <text>
        <r>
          <rPr>
            <sz val="9"/>
            <color indexed="81"/>
            <rFont val="Tahoma"/>
            <family val="2"/>
            <charset val="204"/>
          </rPr>
          <t>Работает на оружие в руках персонажа</t>
        </r>
      </text>
    </comment>
    <comment ref="L36" authorId="1">
      <text>
        <r>
          <rPr>
            <sz val="9"/>
            <color indexed="81"/>
            <rFont val="Tahoma"/>
            <family val="2"/>
            <charset val="204"/>
          </rPr>
          <t>Эффект будет обратным при ношении женщиной</t>
        </r>
      </text>
    </comment>
    <comment ref="L38" authorId="1">
      <text>
        <r>
          <rPr>
            <sz val="9"/>
            <color indexed="81"/>
            <rFont val="Tahoma"/>
            <family val="2"/>
            <charset val="204"/>
          </rPr>
          <t>Эффект будет обратным при ношении женщиной</t>
        </r>
      </text>
    </comment>
    <comment ref="A40" authorId="0">
      <text>
        <r>
          <rPr>
            <sz val="9"/>
            <color indexed="81"/>
            <rFont val="Tahoma"/>
            <family val="2"/>
            <charset val="204"/>
          </rPr>
          <t>Изображение исправлено (использовалось изображение Модных Женских Сапожек)</t>
        </r>
      </text>
    </comment>
    <comment ref="L40" authorId="1">
      <text>
        <r>
          <rPr>
            <sz val="9"/>
            <color indexed="81"/>
            <rFont val="Tahoma"/>
            <family val="2"/>
            <charset val="204"/>
          </rPr>
          <t>Эффект будет обратным при ношении мужчиной</t>
        </r>
      </text>
    </comment>
    <comment ref="L42" authorId="1">
      <text>
        <r>
          <rPr>
            <sz val="9"/>
            <color indexed="81"/>
            <rFont val="Tahoma"/>
            <family val="2"/>
            <charset val="204"/>
          </rPr>
          <t>Эффект будет обратным при ношении мужчиной</t>
        </r>
      </text>
    </comment>
    <comment ref="A53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54" authorId="0">
      <text>
        <r>
          <rPr>
            <sz val="9"/>
            <color indexed="81"/>
            <rFont val="Tahoma"/>
            <family val="2"/>
            <charset val="204"/>
          </rPr>
          <t>Создано новое изображение</t>
        </r>
      </text>
    </comment>
    <comment ref="A55" authorId="0">
      <text>
        <r>
          <rPr>
            <sz val="9"/>
            <color indexed="81"/>
            <rFont val="Tahoma"/>
            <family val="2"/>
            <charset val="204"/>
          </rPr>
          <t>Добавлены в ассортимент у квалифицированных кузнецов</t>
        </r>
      </text>
    </comment>
    <comment ref="A56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58" authorId="0">
      <text>
        <r>
          <rPr>
            <sz val="9"/>
            <color indexed="81"/>
            <rFont val="Tahoma"/>
            <family val="2"/>
            <charset val="204"/>
          </rPr>
          <t>Картинка изменена (добавлен магический знак)</t>
        </r>
      </text>
    </comment>
  </commentList>
</comments>
</file>

<file path=xl/comments10.xml><?xml version="1.0" encoding="utf-8"?>
<comments xmlns="http://schemas.openxmlformats.org/spreadsheetml/2006/main">
  <authors>
    <author>Владимир</author>
  </authors>
  <commentList>
    <comment ref="A6" authorId="0">
      <text>
        <r>
          <rPr>
            <sz val="9"/>
            <color indexed="81"/>
            <rFont val="Tahoma"/>
            <family val="2"/>
            <charset val="204"/>
          </rPr>
          <t>Находится в музее Каладона</t>
        </r>
      </text>
    </comment>
    <comment ref="A7" authorId="0">
      <text>
        <r>
          <rPr>
            <sz val="9"/>
            <color indexed="81"/>
            <rFont val="Tahoma"/>
            <family val="2"/>
            <charset val="204"/>
          </rPr>
          <t>Находится в музее Каладона</t>
        </r>
      </text>
    </comment>
    <comment ref="D7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8</t>
        </r>
      </text>
    </comment>
    <comment ref="A8" authorId="0">
      <text>
        <r>
          <rPr>
            <sz val="9"/>
            <color indexed="81"/>
            <rFont val="Tahoma"/>
            <family val="2"/>
            <charset val="204"/>
          </rPr>
          <t>Находится у Ристецце в Туманных Холмах</t>
        </r>
      </text>
    </comment>
    <comment ref="D8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4</t>
        </r>
      </text>
    </comment>
    <comment ref="A9" authorId="0">
      <text>
        <r>
          <rPr>
            <sz val="9"/>
            <color indexed="81"/>
            <rFont val="Tahoma"/>
            <family val="2"/>
            <charset val="204"/>
          </rPr>
          <t>Находится у Ристецце в Туманных Холмах</t>
        </r>
      </text>
    </comment>
    <comment ref="D9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10</t>
        </r>
      </text>
    </comment>
    <comment ref="A10" authorId="0">
      <text>
        <r>
          <rPr>
            <sz val="9"/>
            <color indexed="81"/>
            <rFont val="Tahoma"/>
            <family val="2"/>
            <charset val="204"/>
          </rPr>
          <t>Находится у Портного в Таранте</t>
        </r>
      </text>
    </comment>
    <comment ref="D10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4</t>
        </r>
      </text>
    </comment>
    <comment ref="A11" authorId="0">
      <text>
        <r>
          <rPr>
            <sz val="9"/>
            <color indexed="81"/>
            <rFont val="Tahoma"/>
            <family val="2"/>
            <charset val="204"/>
          </rPr>
          <t>Находится у Портного в Таранте</t>
        </r>
      </text>
    </comment>
    <comment ref="D11" authorId="0">
      <text>
        <r>
          <rPr>
            <sz val="9"/>
            <color indexed="81"/>
            <rFont val="Tahoma"/>
            <family val="2"/>
            <charset val="204"/>
          </rPr>
          <t>Количество использований 20</t>
        </r>
      </text>
    </comment>
    <comment ref="A12" authorId="0">
      <text>
        <r>
          <rPr>
            <sz val="9"/>
            <color indexed="81"/>
            <rFont val="Tahoma"/>
            <family val="2"/>
            <charset val="204"/>
          </rPr>
          <t>Находится в Руинах Сцабо</t>
        </r>
      </text>
    </comment>
    <comment ref="D12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</t>
        </r>
      </text>
    </comment>
    <comment ref="A13" authorId="0">
      <text>
        <r>
          <rPr>
            <sz val="9"/>
            <color indexed="81"/>
            <rFont val="Tahoma"/>
            <family val="2"/>
            <charset val="204"/>
          </rPr>
          <t>Находится в Руинах Сцабо</t>
        </r>
      </text>
    </comment>
    <comment ref="D13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40
Количество использований 5</t>
        </r>
      </text>
    </comment>
    <comment ref="A14" authorId="0">
      <text>
        <r>
          <rPr>
            <sz val="9"/>
            <color indexed="81"/>
            <rFont val="Tahoma"/>
            <family val="2"/>
            <charset val="204"/>
          </rPr>
          <t>Находится в Запретной Яме</t>
        </r>
      </text>
    </comment>
    <comment ref="D14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20
Количество использований 15, хотя нет заклинаний</t>
        </r>
      </text>
    </comment>
    <comment ref="A15" authorId="0">
      <text>
        <r>
          <rPr>
            <sz val="9"/>
            <color indexed="81"/>
            <rFont val="Tahoma"/>
            <family val="2"/>
            <charset val="204"/>
          </rPr>
          <t>Находится в Запретной Яме</t>
        </r>
      </text>
    </comment>
    <comment ref="D15" authorId="0">
      <text>
        <r>
          <rPr>
            <sz val="9"/>
            <color indexed="81"/>
            <rFont val="Tahoma"/>
            <family val="2"/>
            <charset val="204"/>
          </rPr>
          <t>Магическая склонность 30
Количество использований 10</t>
        </r>
      </text>
    </comment>
    <comment ref="A26" authorId="0">
      <text>
        <r>
          <rPr>
            <sz val="9"/>
            <color indexed="81"/>
            <rFont val="Tahoma"/>
            <family val="2"/>
            <charset val="204"/>
          </rPr>
          <t>Предмет из мода «Arcanum 1.5 Expansion (2012)»</t>
        </r>
      </text>
    </comment>
    <comment ref="A27" authorId="0">
      <text>
        <r>
          <rPr>
            <sz val="9"/>
            <color indexed="81"/>
            <rFont val="Tahoma"/>
            <family val="2"/>
            <charset val="204"/>
          </rPr>
          <t>Доступно только при установке поверх мода «Arcanum 1.5 Expansion (2012)»</t>
        </r>
      </text>
    </comment>
    <comment ref="A28" authorId="0">
      <text>
        <r>
          <rPr>
            <sz val="9"/>
            <color indexed="81"/>
            <rFont val="Tahoma"/>
            <family val="2"/>
            <charset val="204"/>
          </rPr>
          <t>Предмет из мода «Arcanum 1.5 Expansion (2012)»</t>
        </r>
      </text>
    </comment>
    <comment ref="A29" authorId="0">
      <text>
        <r>
          <rPr>
            <sz val="9"/>
            <color indexed="81"/>
            <rFont val="Tahoma"/>
            <family val="2"/>
            <charset val="204"/>
          </rPr>
          <t>Доступно только при установке поверх мода «Arcanum 1.5 Expansion (2012)»</t>
        </r>
      </text>
    </comment>
    <comment ref="A30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31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D31" authorId="0">
      <text>
        <r>
          <rPr>
            <sz val="9"/>
            <color indexed="81"/>
            <rFont val="Tahoma"/>
            <family val="2"/>
            <charset val="204"/>
          </rPr>
          <t>Имменитет к некоторым заклинаниям теперь дает Щит Нарушитель Потока</t>
        </r>
      </text>
    </comment>
    <comment ref="A33" authorId="0">
      <text>
        <r>
          <rPr>
            <sz val="9"/>
            <color indexed="81"/>
            <rFont val="Tahoma"/>
            <family val="2"/>
            <charset val="204"/>
          </rPr>
          <t>Цвет изменен на медный</t>
        </r>
      </text>
    </comment>
    <comment ref="A34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35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36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37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</commentList>
</comments>
</file>

<file path=xl/comments11.xml><?xml version="1.0" encoding="utf-8"?>
<comments xmlns="http://schemas.openxmlformats.org/spreadsheetml/2006/main">
  <authors>
    <author>Владимир</author>
  </authors>
  <commentList>
    <comment ref="D3" authorId="0">
      <text>
        <r>
          <rPr>
            <sz val="9"/>
            <color indexed="81"/>
            <rFont val="Tahoma"/>
            <family val="2"/>
            <charset val="204"/>
          </rPr>
          <t>Не оказывает влияния на персонажа с технологической склонностью выше 60</t>
        </r>
      </text>
    </comment>
    <comment ref="D5" authorId="0">
      <text>
        <r>
          <rPr>
            <sz val="9"/>
            <color indexed="81"/>
            <rFont val="Tahoma"/>
            <family val="2"/>
            <charset val="204"/>
          </rPr>
          <t>Не оказывает влияния на персонажа с технологической склонностью выше 50</t>
        </r>
      </text>
    </comment>
    <comment ref="D7" authorId="0">
      <text>
        <r>
          <rPr>
            <sz val="9"/>
            <color indexed="81"/>
            <rFont val="Tahoma"/>
            <family val="2"/>
            <charset val="204"/>
          </rPr>
          <t>Не оказывает влияния на персонажа с технологической склонностью выше 40</t>
        </r>
      </text>
    </comment>
    <comment ref="D9" authorId="0">
      <text>
        <r>
          <rPr>
            <sz val="9"/>
            <color indexed="81"/>
            <rFont val="Tahoma"/>
            <family val="2"/>
            <charset val="204"/>
          </rPr>
          <t>Не оказывает влияния на персонажа с технологической склонностью выше 40</t>
        </r>
      </text>
    </comment>
    <comment ref="A11" authorId="0">
      <text>
        <r>
          <rPr>
            <sz val="9"/>
            <color indexed="81"/>
            <rFont val="Tahoma"/>
            <family val="2"/>
            <charset val="204"/>
          </rPr>
          <t>Взято изображение Зелья Лечения Яда</t>
        </r>
      </text>
    </comment>
    <comment ref="A13" authorId="0">
      <text>
        <r>
          <rPr>
            <sz val="9"/>
            <color indexed="81"/>
            <rFont val="Tahoma"/>
            <family val="2"/>
            <charset val="204"/>
          </rPr>
          <t>Взято изображение Яда Калиспи</t>
        </r>
      </text>
    </comment>
    <comment ref="D13" authorId="0">
      <text>
        <r>
          <rPr>
            <sz val="9"/>
            <color indexed="81"/>
            <rFont val="Tahoma"/>
            <family val="2"/>
            <charset val="204"/>
          </rPr>
          <t>Не оказывает влияния на персонажа с технологической склонностью выше 30</t>
        </r>
      </text>
    </comment>
    <comment ref="A41" authorId="0">
      <text>
        <r>
          <rPr>
            <sz val="9"/>
            <color indexed="81"/>
            <rFont val="Tahoma"/>
            <family val="2"/>
            <charset val="204"/>
          </rPr>
          <t>Заменил в ассортименте Гербалистов зелье «Вернуть Жизнь»</t>
        </r>
      </text>
    </comment>
    <comment ref="D74" authorId="0">
      <text>
        <r>
          <rPr>
            <sz val="9"/>
            <color indexed="81"/>
            <rFont val="Tahoma"/>
            <family val="2"/>
            <charset val="204"/>
          </rPr>
          <t>Повышаемые параметры подсвечиваются зелёным цветом</t>
        </r>
      </text>
    </comment>
    <comment ref="D75" authorId="0">
      <text>
        <r>
          <rPr>
            <sz val="9"/>
            <color indexed="81"/>
            <rFont val="Tahoma"/>
            <family val="2"/>
            <charset val="204"/>
          </rPr>
          <t>Повышаемые параметры не подсвечиваются зелёным цветом Скрипт заимствован из мода «Arcanum 1.5 Expansion (2012)»</t>
        </r>
      </text>
    </comment>
    <comment ref="A106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107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  <comment ref="A108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«Технологические схемы»</t>
        </r>
      </text>
    </comment>
  </commentList>
</comments>
</file>

<file path=xl/comments12.xml><?xml version="1.0" encoding="utf-8"?>
<comments xmlns="http://schemas.openxmlformats.org/spreadsheetml/2006/main">
  <authors>
    <author>Владимир</author>
  </authors>
  <commentList>
    <comment ref="A31" authorId="0">
      <text>
        <r>
          <rPr>
            <sz val="9"/>
            <color indexed="81"/>
            <rFont val="Tahoma"/>
            <family val="2"/>
            <charset val="204"/>
          </rPr>
          <t>Изображение в инвентаре и на земле теперь имеет тёмно зелёный цвет</t>
        </r>
      </text>
    </comment>
    <comment ref="A33" authorId="0">
      <text>
        <r>
          <rPr>
            <sz val="9"/>
            <color indexed="81"/>
            <rFont val="Tahoma"/>
            <family val="2"/>
            <charset val="204"/>
          </rPr>
          <t>Изображение в инвентаре теперь имеет красноватый цвет (арт взят из патча «Arcanum 1.0.7.5»)</t>
        </r>
      </text>
    </comment>
  </commentList>
</comments>
</file>

<file path=xl/comments13.xml><?xml version="1.0" encoding="utf-8"?>
<comments xmlns="http://schemas.openxmlformats.org/spreadsheetml/2006/main">
  <authors>
    <author>Владимир</author>
  </authors>
  <commentList>
    <comment ref="A90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92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93" authorId="0">
      <text>
        <r>
          <rPr>
            <sz val="9"/>
            <color indexed="81"/>
            <rFont val="Tahoma"/>
            <family val="2"/>
            <charset val="204"/>
          </rPr>
          <t>Создано изображение на схеме</t>
        </r>
      </text>
    </comment>
    <comment ref="D93" authorId="0">
      <text>
        <r>
          <rPr>
            <sz val="9"/>
            <color indexed="81"/>
            <rFont val="Tahoma"/>
            <family val="2"/>
            <charset val="204"/>
          </rPr>
          <t>Схема заменила зелье «Вернуть Жизнь»</t>
        </r>
      </text>
    </comment>
    <comment ref="A94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95" authorId="0">
      <text>
        <r>
          <rPr>
            <sz val="9"/>
            <color indexed="81"/>
            <rFont val="Tahoma"/>
            <family val="2"/>
            <charset val="204"/>
          </rPr>
          <t>Создано изображение на схеме</t>
        </r>
      </text>
    </comment>
    <comment ref="A96" authorId="0">
      <text>
        <r>
          <rPr>
            <sz val="9"/>
            <color indexed="81"/>
            <rFont val="Tahoma"/>
            <family val="2"/>
            <charset val="204"/>
          </rPr>
          <t>Предмет взят из мода «Arcanum 1.5 Expansion (2012)»</t>
        </r>
      </text>
    </comment>
    <comment ref="A97" authorId="0">
      <text>
        <r>
          <rPr>
            <sz val="9"/>
            <color indexed="81"/>
            <rFont val="Tahoma"/>
            <family val="2"/>
            <charset val="204"/>
          </rPr>
          <t>Создано изображение на схеме</t>
        </r>
      </text>
    </comment>
    <comment ref="A98" authorId="0">
      <text>
        <r>
          <rPr>
            <sz val="9"/>
            <color indexed="81"/>
            <rFont val="Tahoma"/>
            <family val="2"/>
            <charset val="204"/>
          </rPr>
          <t>Смотри вкладку «Медальоны и кольца»</t>
        </r>
      </text>
    </comment>
    <comment ref="A99" authorId="0">
      <text>
        <r>
          <rPr>
            <sz val="9"/>
            <color indexed="81"/>
            <rFont val="Tahoma"/>
            <family val="2"/>
            <charset val="204"/>
          </rPr>
          <t>Смотри вкладку «Медальоны и кольца»</t>
        </r>
      </text>
    </comment>
    <comment ref="A100" authorId="0">
      <text>
        <r>
          <rPr>
            <sz val="9"/>
            <color indexed="81"/>
            <rFont val="Tahoma"/>
            <family val="2"/>
            <charset val="204"/>
          </rPr>
          <t>Смотри вкладку «Медальоны и кольца»</t>
        </r>
      </text>
    </comment>
    <comment ref="A101" authorId="0">
      <text>
        <r>
          <rPr>
            <sz val="9"/>
            <color indexed="81"/>
            <rFont val="Tahoma"/>
            <family val="2"/>
            <charset val="204"/>
          </rPr>
          <t>Смотри вкладку «Перчатки и ботинки»</t>
        </r>
      </text>
    </comment>
    <comment ref="A102" authorId="0">
      <text>
        <r>
          <rPr>
            <sz val="9"/>
            <color indexed="81"/>
            <rFont val="Tahoma"/>
            <family val="2"/>
            <charset val="204"/>
          </rPr>
          <t>Смотри вкладку «Оружие ближнего боя»</t>
        </r>
      </text>
    </comment>
    <comment ref="A103" authorId="0">
      <text>
        <r>
          <rPr>
            <sz val="9"/>
            <color indexed="81"/>
            <rFont val="Tahoma"/>
            <family val="2"/>
            <charset val="204"/>
          </rPr>
          <t>Смотри вкладку «Оружие ближнего боя»</t>
        </r>
      </text>
    </comment>
    <comment ref="A104" authorId="0">
      <text>
        <r>
          <rPr>
            <sz val="9"/>
            <color indexed="81"/>
            <rFont val="Tahoma"/>
            <family val="2"/>
            <charset val="204"/>
          </rPr>
          <t>Смотри вкладку «Перчатки и ботинки»</t>
        </r>
      </text>
    </comment>
    <comment ref="A105" authorId="0">
      <text>
        <r>
          <rPr>
            <sz val="9"/>
            <color indexed="81"/>
            <rFont val="Tahoma"/>
            <family val="2"/>
            <charset val="204"/>
          </rPr>
          <t>Смотри вкладку «Перчатки и ботинки»</t>
        </r>
      </text>
    </comment>
    <comment ref="A106" authorId="0">
      <text>
        <r>
          <rPr>
            <sz val="9"/>
            <color indexed="81"/>
            <rFont val="Tahoma"/>
            <family val="2"/>
            <charset val="204"/>
          </rPr>
          <t>Смотри вкладку «Зелья и еда»</t>
        </r>
      </text>
    </comment>
    <comment ref="A107" authorId="0">
      <text>
        <r>
          <rPr>
            <sz val="9"/>
            <color indexed="81"/>
            <rFont val="Tahoma"/>
            <family val="2"/>
            <charset val="204"/>
          </rPr>
          <t>Смотри вкладку «Зелья и еда»</t>
        </r>
      </text>
    </comment>
    <comment ref="A108" authorId="0">
      <text>
        <r>
          <rPr>
            <sz val="9"/>
            <color indexed="81"/>
            <rFont val="Tahoma"/>
            <family val="2"/>
            <charset val="204"/>
          </rPr>
          <t>Смотри вкладку «Медальоны и кольца»</t>
        </r>
      </text>
    </comment>
    <comment ref="A109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«Технологическая броня»</t>
        </r>
      </text>
    </comment>
    <comment ref="A110" authorId="0">
      <text>
        <r>
          <rPr>
            <sz val="9"/>
            <color indexed="81"/>
            <rFont val="Tahoma"/>
            <family val="2"/>
            <charset val="204"/>
          </rPr>
          <t>Смотри вкладку «Перчатки и ботинки»</t>
        </r>
      </text>
    </comment>
    <comment ref="A111" authorId="0">
      <text>
        <r>
          <rPr>
            <sz val="9"/>
            <color indexed="81"/>
            <rFont val="Tahoma"/>
            <family val="2"/>
            <charset val="204"/>
          </rPr>
          <t>Смотри вкладку «Щиты»</t>
        </r>
      </text>
    </comment>
    <comment ref="A112" authorId="0">
      <text>
        <r>
          <rPr>
            <sz val="9"/>
            <color indexed="81"/>
            <rFont val="Tahoma"/>
            <family val="2"/>
            <charset val="204"/>
          </rPr>
          <t>Смотри вкладку «Щиты»</t>
        </r>
      </text>
    </comment>
    <comment ref="A113" authorId="0">
      <text>
        <r>
          <rPr>
            <sz val="9"/>
            <color indexed="81"/>
            <rFont val="Tahoma"/>
            <family val="2"/>
            <charset val="204"/>
          </rPr>
          <t>Смотри вкладку «Технологическая броня»</t>
        </r>
      </text>
    </comment>
    <comment ref="A114" authorId="0">
      <text>
        <r>
          <rPr>
            <sz val="9"/>
            <color indexed="81"/>
            <rFont val="Tahoma"/>
            <family val="2"/>
            <charset val="204"/>
          </rPr>
          <t>Смотри вкладку «Щиты»</t>
        </r>
      </text>
    </comment>
    <comment ref="A115" authorId="0">
      <text>
        <r>
          <rPr>
            <sz val="9"/>
            <color indexed="81"/>
            <rFont val="Tahoma"/>
            <family val="2"/>
            <charset val="204"/>
          </rPr>
          <t>Смотри вкладку «Зелья и еда»</t>
        </r>
      </text>
    </comment>
    <comment ref="A116" authorId="0">
      <text>
        <r>
          <rPr>
            <sz val="9"/>
            <color indexed="81"/>
            <rFont val="Tahoma"/>
            <family val="2"/>
            <charset val="204"/>
          </rPr>
          <t>Идея товарища Shishkinbar</t>
        </r>
      </text>
    </comment>
  </commentList>
</comments>
</file>

<file path=xl/comments14.xml><?xml version="1.0" encoding="utf-8"?>
<comments xmlns="http://schemas.openxmlformats.org/spreadsheetml/2006/main">
  <authors>
    <author>Владимир</author>
  </authors>
  <commentList>
    <comment ref="A12" authorId="0">
      <text>
        <r>
          <rPr>
            <sz val="9"/>
            <color indexed="81"/>
            <rFont val="Tahoma"/>
            <family val="2"/>
            <charset val="204"/>
          </rPr>
          <t>Цвет паров белый</t>
        </r>
      </text>
    </comment>
    <comment ref="A13" authorId="0">
      <text>
        <r>
          <rPr>
            <sz val="9"/>
            <color indexed="81"/>
            <rFont val="Tahoma"/>
            <family val="2"/>
            <charset val="204"/>
          </rPr>
          <t>Цвет паров голубой</t>
        </r>
      </text>
    </comment>
    <comment ref="A25" authorId="0">
      <text>
        <r>
          <rPr>
            <sz val="9"/>
            <color indexed="81"/>
            <rFont val="Tahoma"/>
            <family val="2"/>
            <charset val="204"/>
          </rPr>
          <t>Использован предыдущий вариант заклинания, задуманный разработчиками, но в итоговой версии игры не использованный</t>
        </r>
      </text>
    </comment>
    <comment ref="E33" authorId="0">
      <text>
        <r>
          <rPr>
            <sz val="9"/>
            <color indexed="81"/>
            <rFont val="Tahoma"/>
            <family val="2"/>
            <charset val="204"/>
          </rPr>
          <t>Освещение взято из Ultimate Nightmare Mod</t>
        </r>
      </text>
    </comment>
    <comment ref="E35" authorId="0">
      <text>
        <r>
          <rPr>
            <sz val="9"/>
            <color indexed="81"/>
            <rFont val="Tahoma"/>
            <family val="2"/>
            <charset val="204"/>
          </rPr>
          <t>Освещение взято из Ultimate Nightmare Mod</t>
        </r>
      </text>
    </comment>
    <comment ref="E37" authorId="0">
      <text>
        <r>
          <rPr>
            <sz val="9"/>
            <color indexed="81"/>
            <rFont val="Tahoma"/>
            <family val="2"/>
            <charset val="204"/>
          </rPr>
          <t>Освещение взято из Ultimate Nightmare Mod</t>
        </r>
      </text>
    </comment>
    <comment ref="E68" authorId="0">
      <text>
        <r>
          <rPr>
            <sz val="9"/>
            <color indexed="81"/>
            <rFont val="Tahoma"/>
            <family val="2"/>
            <charset val="204"/>
          </rPr>
          <t>Овца: урон уменьшен до 1</t>
        </r>
      </text>
    </comment>
    <comment ref="E69" authorId="0">
      <text>
        <r>
          <rPr>
            <sz val="9"/>
            <color indexed="81"/>
            <rFont val="Tahoma"/>
            <family val="2"/>
            <charset val="204"/>
          </rPr>
          <t>Овца: урон уменьшен до 1 и в 2 раза снижены Интеллект, навыки Уклонения, Рукопашной и Убийства
Оборотень: минимальная сила 20, телосложение 15, ловкость 15, сопротивление повреждениям 50, броня +10</t>
        </r>
      </text>
    </comment>
    <comment ref="A99" authorId="0">
      <text>
        <r>
          <rPr>
            <sz val="9"/>
            <color indexed="81"/>
            <rFont val="Tahoma"/>
            <family val="2"/>
            <charset val="204"/>
          </rPr>
          <t>Добавлена анимация при сотворении заклинания (использована вспышка заклинания Невидимость)</t>
        </r>
      </text>
    </comment>
    <comment ref="A101" authorId="0">
      <text>
        <r>
          <rPr>
            <sz val="9"/>
            <color indexed="81"/>
            <rFont val="Tahoma"/>
            <family val="2"/>
            <charset val="204"/>
          </rPr>
          <t>Добавлена анимация заклинания</t>
        </r>
      </text>
    </comment>
    <comment ref="A105" authorId="0">
      <text>
        <r>
          <rPr>
            <sz val="9"/>
            <color indexed="81"/>
            <rFont val="Tahoma"/>
            <family val="2"/>
            <charset val="204"/>
          </rPr>
          <t>Убрана анимация при наложении заклинания (вспышка перед исчезновением персонажа)</t>
        </r>
      </text>
    </comment>
  </commentList>
</comments>
</file>

<file path=xl/comments15.xml><?xml version="1.0" encoding="utf-8"?>
<comments xmlns="http://schemas.openxmlformats.org/spreadsheetml/2006/main">
  <authors>
    <author>Владимир</author>
  </authors>
  <commentList>
    <comment ref="A25" authorId="0">
      <text>
        <r>
          <rPr>
            <sz val="9"/>
            <color indexed="81"/>
            <rFont val="Tahoma"/>
            <family val="2"/>
            <charset val="204"/>
          </rPr>
          <t>Взята модель красного Варгана размером 135%</t>
        </r>
      </text>
    </comment>
    <comment ref="C25" authorId="0">
      <text>
        <r>
          <rPr>
            <sz val="9"/>
            <color indexed="81"/>
            <rFont val="Tahoma"/>
            <family val="2"/>
            <charset val="204"/>
          </rPr>
          <t>Здоровье повысилось за счёт повышения уровня и основных характеристик</t>
        </r>
      </text>
    </comment>
    <comment ref="D25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повышения уровня и основных характеристик</t>
        </r>
      </text>
    </comment>
    <comment ref="C27" authorId="0">
      <text>
        <r>
          <rPr>
            <sz val="9"/>
            <color indexed="81"/>
            <rFont val="Tahoma"/>
            <family val="2"/>
            <charset val="204"/>
          </rPr>
          <t>Здоровье повысилось за счёт повышения уровня и основных характеристик</t>
        </r>
      </text>
    </comment>
    <comment ref="D27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повышения уровня и основных характеристик</t>
        </r>
      </text>
    </comment>
    <comment ref="C29" authorId="0">
      <text>
        <r>
          <rPr>
            <sz val="9"/>
            <color indexed="81"/>
            <rFont val="Tahoma"/>
            <family val="2"/>
            <charset val="204"/>
          </rPr>
          <t>Здоровье повысилось за счёт повышения уровня и основных характеристик</t>
        </r>
      </text>
    </comment>
    <comment ref="D29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повышения уровня и основных характеристик</t>
        </r>
      </text>
    </comment>
    <comment ref="C31" authorId="0">
      <text>
        <r>
          <rPr>
            <sz val="9"/>
            <color indexed="81"/>
            <rFont val="Tahoma"/>
            <family val="2"/>
            <charset val="204"/>
          </rPr>
          <t>Здоровье повысилось за счёт увеличения уровня</t>
        </r>
      </text>
    </comment>
    <comment ref="D31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увеличения уровня</t>
        </r>
      </text>
    </comment>
    <comment ref="C33" authorId="0">
      <text>
        <r>
          <rPr>
            <sz val="9"/>
            <color indexed="81"/>
            <rFont val="Tahoma"/>
            <family val="2"/>
            <charset val="204"/>
          </rPr>
          <t>Здоровье снижено так как теперь дополнительные жизни прибавляются не просто так, а за счёт 150 очков развития, потраченных на повышение жизненной силы</t>
        </r>
      </text>
    </comment>
    <comment ref="D33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увеличения уровня</t>
        </r>
      </text>
    </comment>
    <comment ref="C35" authorId="0">
      <text>
        <r>
          <rPr>
            <sz val="9"/>
            <color indexed="81"/>
            <rFont val="Tahoma"/>
            <family val="2"/>
            <charset val="204"/>
          </rPr>
          <t>Здоровье снижено так как теперь дополнительные жизни прибавляются не просто так, а за счёт 150 очков развития, потраченных на повышение жизненной силы</t>
        </r>
      </text>
    </comment>
    <comment ref="D35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увеличения уровня</t>
        </r>
      </text>
    </comment>
    <comment ref="C37" authorId="0">
      <text>
        <r>
          <rPr>
            <sz val="9"/>
            <color indexed="81"/>
            <rFont val="Tahoma"/>
            <family val="2"/>
            <charset val="204"/>
          </rPr>
          <t>Здоровье снижено так как теперь дополнительные жизни прибавляются не просто так, а за счёт 150 очков развития, потраченных на повышение жизненной силы</t>
        </r>
      </text>
    </comment>
    <comment ref="D37" authorId="0">
      <text>
        <r>
          <rPr>
            <sz val="9"/>
            <color indexed="81"/>
            <rFont val="Tahoma"/>
            <family val="2"/>
            <charset val="204"/>
          </rPr>
          <t>Усталость повысилась за счёт увеличения уровня</t>
        </r>
      </text>
    </comment>
  </commentList>
</comments>
</file>

<file path=xl/comments16.xml><?xml version="1.0" encoding="utf-8"?>
<comments xmlns="http://schemas.openxmlformats.org/spreadsheetml/2006/main">
  <authors>
    <author>Владимир</author>
  </authors>
  <commentList>
    <comment ref="A12" authorId="0">
      <text>
        <r>
          <rPr>
            <sz val="9"/>
            <color indexed="81"/>
            <rFont val="Tahoma"/>
            <family val="2"/>
            <charset val="204"/>
          </rPr>
          <t>Теперь его можно использовать на предмет, лежащий на земле</t>
        </r>
      </text>
    </comment>
    <comment ref="A14" authorId="0">
      <text>
        <r>
          <rPr>
            <sz val="9"/>
            <color indexed="81"/>
            <rFont val="Tahoma"/>
            <family val="2"/>
            <charset val="204"/>
          </rPr>
          <t>При наличии у героя достаточного количества Воли (12 единиц) заклинание работает на всех врагов поблизости, иначе работает только на того врага, которого вы укажете</t>
        </r>
      </text>
    </comment>
    <comment ref="A16" authorId="0">
      <text>
        <r>
          <rPr>
            <sz val="9"/>
            <color indexed="81"/>
            <rFont val="Tahoma"/>
            <family val="2"/>
            <charset val="204"/>
          </rPr>
          <t>При наличии у героя достаточного количества Воли (15 единиц) заклинание работает на всех врагов поблизости, иначе работает только на того врага, которого вы укажете</t>
        </r>
      </text>
    </comment>
    <comment ref="A17" authorId="0">
      <text>
        <r>
          <rPr>
            <sz val="9"/>
            <color indexed="81"/>
            <rFont val="Tahoma"/>
            <family val="2"/>
            <charset val="204"/>
          </rPr>
          <t>При наличии у героя достаточного количества Воли (18 единиц) заклинание работает на всю вашу группу, иначе работает лишь на вас и того союзника, которого вы укажете</t>
        </r>
      </text>
    </comment>
    <comment ref="A19" authorId="0">
      <text>
        <r>
          <rPr>
            <sz val="9"/>
            <color indexed="81"/>
            <rFont val="Tahoma"/>
            <family val="2"/>
            <charset val="204"/>
          </rPr>
          <t>При наличии у героя достаточного количества Воли (18 единиц) заклинание работает на всю вашу группу, иначе работает лишь на вас и того союзника, которого вы укажете</t>
        </r>
      </text>
    </comment>
    <comment ref="A24" authorId="0">
      <text>
        <r>
          <rPr>
            <sz val="9"/>
            <color indexed="81"/>
            <rFont val="Tahoma"/>
            <family val="2"/>
            <charset val="204"/>
          </rPr>
          <t>Ошибка появилась из-за увеличения количества здоровья, получаемого за очко развития, с 4 до 6. Дело в том, что здоровье убийцы в оригинале было снижено до 2 единиц за счет выставления ему -9 единиц бонуса к здоровью. Из-за увеличения этого бонуса его суммарное здоровье стало меньше нуля, то есть он оказался мертвым и поэтому не появлялся.</t>
        </r>
      </text>
    </comment>
  </commentList>
</comments>
</file>

<file path=xl/comments17.xml><?xml version="1.0" encoding="utf-8"?>
<comments xmlns="http://schemas.openxmlformats.org/spreadsheetml/2006/main">
  <authors>
    <author>Владимир</author>
  </authors>
  <commentList>
    <comment ref="A21" authorId="0">
      <text>
        <r>
          <rPr>
            <sz val="9"/>
            <color indexed="81"/>
            <rFont val="Tahoma"/>
            <family val="2"/>
            <charset val="204"/>
          </rPr>
          <t>Это значение так же изменено в редакторе мира</t>
        </r>
      </text>
    </comment>
    <comment ref="A23" authorId="0">
      <text>
        <r>
          <rPr>
            <sz val="9"/>
            <color indexed="81"/>
            <rFont val="Tahoma"/>
            <family val="2"/>
            <charset val="204"/>
          </rPr>
          <t>Раньше урон от отравления рассчитывался так:
Если уровень яда &gt;= 550, то наносится урон равный 3,
иначе урон равен 1 плюс еще 1 если уровень яда &gt;= 200</t>
        </r>
      </text>
    </comment>
    <comment ref="A27" authorId="0">
      <text>
        <r>
          <rPr>
            <sz val="9"/>
            <color indexed="81"/>
            <rFont val="Tahoma"/>
            <family val="2"/>
            <charset val="204"/>
          </rPr>
          <t>Это значение так же изменено в редакторе мира</t>
        </r>
      </text>
    </comment>
    <comment ref="A28" authorId="0">
      <text>
        <r>
          <rPr>
            <sz val="9"/>
            <color indexed="81"/>
            <rFont val="Tahoma"/>
            <family val="2"/>
            <charset val="204"/>
          </rPr>
          <t>Это значение так же изменено в редакторе мира</t>
        </r>
      </text>
    </comment>
    <comment ref="A30" authorId="0">
      <text>
        <r>
          <rPr>
            <sz val="9"/>
            <color indexed="81"/>
            <rFont val="Tahoma"/>
            <family val="2"/>
            <charset val="204"/>
          </rPr>
          <t>Расход батарей зависит от Склонности героя: минимальный будет у продвинутого технолога, нейтральный персонаж расходует на 50% больше, а маг будет иметь увеличение вплоть до 100%</t>
        </r>
      </text>
    </comment>
    <comment ref="A34" authorId="0">
      <text>
        <r>
          <rPr>
            <sz val="9"/>
            <color indexed="81"/>
            <rFont val="Tahoma"/>
            <family val="2"/>
            <charset val="204"/>
          </rPr>
          <t>Это важно для случая когда мана расходуется раз в секунду, теперь вместо (1 / секунда) будет написано (1 / 1 секунда)</t>
        </r>
      </text>
    </comment>
    <comment ref="A35" authorId="0">
      <text>
        <r>
          <rPr>
            <sz val="9"/>
            <color indexed="81"/>
            <rFont val="Tahoma"/>
            <family val="2"/>
            <charset val="204"/>
          </rPr>
          <t>Этот штраф мог доходить до 100%, что значит однозначный промах, и уменьшался с ростом склонности персонажа, использующего оружие. Таким образом от него больше всего страдали обычные воины, которые в игре и так пожалуй больше всех обделены.</t>
        </r>
      </text>
    </comment>
    <comment ref="A38" authorId="0">
      <text>
        <r>
          <rPr>
            <sz val="9"/>
            <color indexed="81"/>
            <rFont val="Tahoma"/>
            <family val="2"/>
            <charset val="204"/>
          </rPr>
          <t>Подробное описание команды смотри в файле "WorldEdManual.docx". Там так же указано как в случае необходимости рассчитать величину "scroll distance" используя остальные скриптовые команды.</t>
        </r>
      </text>
    </comment>
    <comment ref="A39" authorId="0">
      <text>
        <r>
          <rPr>
            <sz val="9"/>
            <color indexed="81"/>
            <rFont val="Tahoma"/>
            <family val="2"/>
            <charset val="204"/>
          </rPr>
          <t>Арты таких заклинаний начинаются в этом файле со строчки под номером 1080, т.е. чтобы определить номер арта нужно к номеру заклинания прибавить 1000.</t>
        </r>
      </text>
    </comment>
    <comment ref="A40" authorId="0">
      <text>
        <r>
          <rPr>
            <sz val="9"/>
            <color indexed="81"/>
            <rFont val="Tahoma"/>
            <family val="2"/>
            <charset val="204"/>
          </rPr>
          <t>Арты таких заклинаний начинаются в этом файле со строчки под номером 2016, т.е. чтобы определить номер арта нужно номер заклинания поделить нацело на 5 и прибавить к этому 2000.</t>
        </r>
      </text>
    </comment>
  </commentList>
</comments>
</file>

<file path=xl/comments18.xml><?xml version="1.0" encoding="utf-8"?>
<comments xmlns="http://schemas.openxmlformats.org/spreadsheetml/2006/main">
  <authors>
    <author>Владимир</author>
  </authors>
  <commentList>
    <comment ref="A97" authorId="0">
      <text>
        <r>
          <rPr>
            <sz val="9"/>
            <color indexed="81"/>
            <rFont val="Tahoma"/>
            <family val="2"/>
            <charset val="204"/>
          </rPr>
          <t>Позволяют, например, из обычного Меча сделать Зачарованный, Магический, Мистический и Таинственный мечи соответственно</t>
        </r>
      </text>
    </comment>
    <comment ref="A105" authorId="0">
      <text>
        <r>
          <rPr>
            <sz val="9"/>
            <color indexed="81"/>
            <rFont val="Tahoma"/>
            <family val="2"/>
            <charset val="204"/>
          </rPr>
          <t>Чтобы играя за Полу Огра можно было заполучить крутую защиту, что всегда можно было сделать представителями всех других рас</t>
        </r>
      </text>
    </comment>
  </commentList>
</comments>
</file>

<file path=xl/sharedStrings.xml><?xml version="1.0" encoding="utf-8"?>
<sst xmlns="http://schemas.openxmlformats.org/spreadsheetml/2006/main" count="8311" uniqueCount="2555">
  <si>
    <t>Скорость</t>
  </si>
  <si>
    <t>ПВ</t>
  </si>
  <si>
    <t>УС</t>
  </si>
  <si>
    <t>ПО</t>
  </si>
  <si>
    <t>ПЯ</t>
  </si>
  <si>
    <t>ПЭ</t>
  </si>
  <si>
    <t>Сбалансированный Меч</t>
  </si>
  <si>
    <t>Пиротехнический Топор</t>
  </si>
  <si>
    <t>Заряженный Топор</t>
  </si>
  <si>
    <t>Шокирующий Посох</t>
  </si>
  <si>
    <t>Жезл Тесла</t>
  </si>
  <si>
    <t>Ружейная Пушка</t>
  </si>
  <si>
    <t>3-12</t>
  </si>
  <si>
    <t>1-9</t>
  </si>
  <si>
    <t>1-12</t>
  </si>
  <si>
    <t>30-50</t>
  </si>
  <si>
    <t>20-30</t>
  </si>
  <si>
    <t>1-6</t>
  </si>
  <si>
    <t>1-3</t>
  </si>
  <si>
    <t>5-10</t>
  </si>
  <si>
    <t>1-4</t>
  </si>
  <si>
    <t>10-40</t>
  </si>
  <si>
    <t>10-30</t>
  </si>
  <si>
    <t>5-20</t>
  </si>
  <si>
    <t>3-9</t>
  </si>
  <si>
    <t>Заряженный Меч</t>
  </si>
  <si>
    <t>1-20</t>
  </si>
  <si>
    <t>Отравленный Меч</t>
  </si>
  <si>
    <t>10-35</t>
  </si>
  <si>
    <t>1-8</t>
  </si>
  <si>
    <t>Пиротехническая Пушка</t>
  </si>
  <si>
    <t>1-15</t>
  </si>
  <si>
    <t>Пушка Бронвика</t>
  </si>
  <si>
    <t>5-5</t>
  </si>
  <si>
    <t>Название</t>
  </si>
  <si>
    <t>СП</t>
  </si>
  <si>
    <t>СО</t>
  </si>
  <si>
    <t>СЭ</t>
  </si>
  <si>
    <t>СЯ</t>
  </si>
  <si>
    <t>Шляпа Магнитной Инверсии</t>
  </si>
  <si>
    <t>Шлем с очками</t>
  </si>
  <si>
    <t>Дополнительно</t>
  </si>
  <si>
    <t>СМ</t>
  </si>
  <si>
    <t>Пистолет Шрека</t>
  </si>
  <si>
    <t>5-35</t>
  </si>
  <si>
    <t>Механизированная Пушка</t>
  </si>
  <si>
    <t>5-15</t>
  </si>
  <si>
    <t>Пушка Тесла</t>
  </si>
  <si>
    <t>10-80</t>
  </si>
  <si>
    <t>0-0</t>
  </si>
  <si>
    <t>Отравленный Топор</t>
  </si>
  <si>
    <t>20-40</t>
  </si>
  <si>
    <t>Урон</t>
  </si>
  <si>
    <t>Усталость</t>
  </si>
  <si>
    <t>Ускоренная Электро-Пушка</t>
  </si>
  <si>
    <t>10-10</t>
  </si>
  <si>
    <t>10-15</t>
  </si>
  <si>
    <t>Кожаная Броня</t>
  </si>
  <si>
    <t>Броня Регенерации</t>
  </si>
  <si>
    <t>Сверхлегкий Топор</t>
  </si>
  <si>
    <t>1-16</t>
  </si>
  <si>
    <t>3-11</t>
  </si>
  <si>
    <t>2-10</t>
  </si>
  <si>
    <t>Длинный Лук</t>
  </si>
  <si>
    <t>Составной Лук</t>
  </si>
  <si>
    <t>Отравленный Лук</t>
  </si>
  <si>
    <t>Пиротехнический Лук</t>
  </si>
  <si>
    <t>5-18</t>
  </si>
  <si>
    <t>1-10</t>
  </si>
  <si>
    <t>2-5</t>
  </si>
  <si>
    <t>2-12</t>
  </si>
  <si>
    <t>6-18</t>
  </si>
  <si>
    <t xml:space="preserve"> - изменено</t>
  </si>
  <si>
    <t xml:space="preserve"> - добавлено</t>
  </si>
  <si>
    <t>Кожаная Броня Регенерации</t>
  </si>
  <si>
    <t>Доспехи Железного Клана</t>
  </si>
  <si>
    <t>Механический Кинжал</t>
  </si>
  <si>
    <t>3-6</t>
  </si>
  <si>
    <t>Заряженное Кольцо</t>
  </si>
  <si>
    <t>ЛВ:+2</t>
  </si>
  <si>
    <t>Военные Рукавицы</t>
  </si>
  <si>
    <t>ПВ:+10</t>
  </si>
  <si>
    <t>Кольчужные Перчатки</t>
  </si>
  <si>
    <t>ПВ:+2</t>
  </si>
  <si>
    <t>Военные Кольчужные Перчатки</t>
  </si>
  <si>
    <t>Прочность</t>
  </si>
  <si>
    <t>Перчатки</t>
  </si>
  <si>
    <t>ПВ:+4</t>
  </si>
  <si>
    <t>ПВ:+3</t>
  </si>
  <si>
    <t>Рукавицы Карликов</t>
  </si>
  <si>
    <t>ПВ:+7</t>
  </si>
  <si>
    <t>ПВ:+15</t>
  </si>
  <si>
    <t>Таинственные Рукавицы Карликов</t>
  </si>
  <si>
    <t>Медальон Противоядия</t>
  </si>
  <si>
    <t>Элитная Пластинчатая Броня</t>
  </si>
  <si>
    <t>Арбалет</t>
  </si>
  <si>
    <t>Механические Ботинки</t>
  </si>
  <si>
    <t>15-20</t>
  </si>
  <si>
    <t>Снайперское Ружье</t>
  </si>
  <si>
    <t>Молот</t>
  </si>
  <si>
    <t>1-5</t>
  </si>
  <si>
    <t>Машинный Молот</t>
  </si>
  <si>
    <t>Булава</t>
  </si>
  <si>
    <t>Широкий Меч</t>
  </si>
  <si>
    <t>4-16</t>
  </si>
  <si>
    <t>Молот Железного Клана</t>
  </si>
  <si>
    <t>15-35</t>
  </si>
  <si>
    <t>20-35</t>
  </si>
  <si>
    <t>Добротный Молот</t>
  </si>
  <si>
    <t>1-7</t>
  </si>
  <si>
    <t>3-7</t>
  </si>
  <si>
    <t>4-14</t>
  </si>
  <si>
    <t>Ружье с Оптикой</t>
  </si>
  <si>
    <t>3-8</t>
  </si>
  <si>
    <t>Ржавый Молот</t>
  </si>
  <si>
    <t>Ржавая Булава</t>
  </si>
  <si>
    <t>Ржавая Палица</t>
  </si>
  <si>
    <t>Расход</t>
  </si>
  <si>
    <t>Эффект</t>
  </si>
  <si>
    <t>Ускоритель Лечения</t>
  </si>
  <si>
    <t>Металлические Ботинки</t>
  </si>
  <si>
    <t>Огнеупорная Броня</t>
  </si>
  <si>
    <t>Зелье Убеждения</t>
  </si>
  <si>
    <t>Убеждение +2 (временно)</t>
  </si>
  <si>
    <t>Убеждение +4 (временно)</t>
  </si>
  <si>
    <t>Машинные Рукавицы Карликов</t>
  </si>
  <si>
    <t>Заряженный Щит</t>
  </si>
  <si>
    <t>Кольчуга Карликов</t>
  </si>
  <si>
    <t>Шлем</t>
  </si>
  <si>
    <t>ВС:+3</t>
  </si>
  <si>
    <t>ВС:-1</t>
  </si>
  <si>
    <t>Хороший Шлем</t>
  </si>
  <si>
    <t>Большой Шлем</t>
  </si>
  <si>
    <t>Шлем Свинячье Рыльце</t>
  </si>
  <si>
    <t>Шлем Видения</t>
  </si>
  <si>
    <t>Помятый Железный Щит</t>
  </si>
  <si>
    <t>Легкий Щит</t>
  </si>
  <si>
    <t>Хороший Треугольный Щит</t>
  </si>
  <si>
    <t>Глазные Окуляры</t>
  </si>
  <si>
    <t>ВС:+2</t>
  </si>
  <si>
    <t>Шлем Света</t>
  </si>
  <si>
    <t>Бронебойная Пушка</t>
  </si>
  <si>
    <t>Убрать расхождения характеристик брони в зависимости от размера</t>
  </si>
  <si>
    <t>Увеличить технологическую склонность Сверхлегкой Кольчуги к Кузнечеству до 75</t>
  </si>
  <si>
    <t>Увеличить технологическую склонность Элитной Пластинчатой Брони к Кузнечеству до 95</t>
  </si>
  <si>
    <t>Регенерация 1-2 ЗД каждые 4 сек.</t>
  </si>
  <si>
    <t>10-20</t>
  </si>
  <si>
    <t>25-35</t>
  </si>
  <si>
    <t>8-12</t>
  </si>
  <si>
    <t>12-18</t>
  </si>
  <si>
    <t>30-42</t>
  </si>
  <si>
    <t>35-50</t>
  </si>
  <si>
    <t>Ручная Пушка</t>
  </si>
  <si>
    <t>10</t>
  </si>
  <si>
    <t>6</t>
  </si>
  <si>
    <t>12</t>
  </si>
  <si>
    <t>8</t>
  </si>
  <si>
    <t>4</t>
  </si>
  <si>
    <t>5</t>
  </si>
  <si>
    <t>5-12</t>
  </si>
  <si>
    <t>14</t>
  </si>
  <si>
    <t>3</t>
  </si>
  <si>
    <t>Кривой Меч Криггирда</t>
  </si>
  <si>
    <t>10-25</t>
  </si>
  <si>
    <t>Увеличить технологическую склонность Дальнобойного Пистолета к Огнестрельному Оружию до 65</t>
  </si>
  <si>
    <t>Увеличить технологическую склонность Шлема Видения к Кузнечеству до 60</t>
  </si>
  <si>
    <t>Шлем Восприятия</t>
  </si>
  <si>
    <t>Пластинчатая Броня Карликов</t>
  </si>
  <si>
    <t>7-16</t>
  </si>
  <si>
    <t>Уменьшить технологическую склонность Эликсира Убеждения к Терапевтике до 25</t>
  </si>
  <si>
    <t>Шлем Шахтера</t>
  </si>
  <si>
    <t>Шлем «Свинячье Рыльце»</t>
  </si>
  <si>
    <t>Добротная Палица</t>
  </si>
  <si>
    <t>8-20</t>
  </si>
  <si>
    <t>2-9</t>
  </si>
  <si>
    <t>Увеличить технологическую склонность Сбалансированного Меча к Кузнечеству до 30</t>
  </si>
  <si>
    <t>Винтовка с Оптикой</t>
  </si>
  <si>
    <t>Снайперская Винтовка</t>
  </si>
  <si>
    <t>Увеличить технологическую склонность Составного Лука к Механике до 45</t>
  </si>
  <si>
    <t>Дальнобойный Пистолет</t>
  </si>
  <si>
    <t>Добротный Широкий Меч</t>
  </si>
  <si>
    <t>4-12</t>
  </si>
  <si>
    <t>7-18</t>
  </si>
  <si>
    <t>2-8</t>
  </si>
  <si>
    <t>16</t>
  </si>
  <si>
    <t>Палаш</t>
  </si>
  <si>
    <t>2-18</t>
  </si>
  <si>
    <t>6-16</t>
  </si>
  <si>
    <t>Ржавый Широкий Меч</t>
  </si>
  <si>
    <t>1-14</t>
  </si>
  <si>
    <t>5-14</t>
  </si>
  <si>
    <t>Шлем Гелеама</t>
  </si>
  <si>
    <t>3(+15)</t>
  </si>
  <si>
    <t>2-6</t>
  </si>
  <si>
    <t>Машинная Пластинчатая Броня</t>
  </si>
  <si>
    <t>Щит Нарушитель Потока</t>
  </si>
  <si>
    <t>Деревянный Щит</t>
  </si>
  <si>
    <t>Потрепанный Деревянный Щит</t>
  </si>
  <si>
    <t>Щит Магнитной Инверсии</t>
  </si>
  <si>
    <t>-</t>
  </si>
  <si>
    <t>Стоимость</t>
  </si>
  <si>
    <t>180</t>
  </si>
  <si>
    <t>330</t>
  </si>
  <si>
    <t>250</t>
  </si>
  <si>
    <t>500</t>
  </si>
  <si>
    <t>280</t>
  </si>
  <si>
    <t>Топор Мощи</t>
  </si>
  <si>
    <t>Вес</t>
  </si>
  <si>
    <t>Фламберг</t>
  </si>
  <si>
    <t>140</t>
  </si>
  <si>
    <t>130</t>
  </si>
  <si>
    <t>120</t>
  </si>
  <si>
    <t>100</t>
  </si>
  <si>
    <t>ПВ:+7,  СЛ:+1  ТС:+1  ЛВ:+2  Скорость +2</t>
  </si>
  <si>
    <t>Транквилизаторное Ружье</t>
  </si>
  <si>
    <t>100%</t>
  </si>
  <si>
    <t>1-1</t>
  </si>
  <si>
    <t>Механический Молот</t>
  </si>
  <si>
    <t>97</t>
  </si>
  <si>
    <t>190</t>
  </si>
  <si>
    <t>212</t>
  </si>
  <si>
    <t>290</t>
  </si>
  <si>
    <t>350</t>
  </si>
  <si>
    <t>1100</t>
  </si>
  <si>
    <t>Изменить изображение Составного Лука в окне компонентов на схемах</t>
  </si>
  <si>
    <t>20-60</t>
  </si>
  <si>
    <t>30-60</t>
  </si>
  <si>
    <t>Гарпун</t>
  </si>
  <si>
    <t>Магазинная Винтовка</t>
  </si>
  <si>
    <t>Электростатическая Пушка</t>
  </si>
  <si>
    <t>Мощный Пистолет</t>
  </si>
  <si>
    <t>2-7</t>
  </si>
  <si>
    <t>4-8</t>
  </si>
  <si>
    <t>Кислотная Пушка</t>
  </si>
  <si>
    <t>Повреждает броню</t>
  </si>
  <si>
    <t>Огнемет</t>
  </si>
  <si>
    <t>15-40</t>
  </si>
  <si>
    <t>Лук</t>
  </si>
  <si>
    <t>Стилет</t>
  </si>
  <si>
    <t>Слоновье Ружье</t>
  </si>
  <si>
    <t>410</t>
  </si>
  <si>
    <t>9-21</t>
  </si>
  <si>
    <t>11</t>
  </si>
  <si>
    <t>370</t>
  </si>
  <si>
    <t>6-24</t>
  </si>
  <si>
    <t>5-17</t>
  </si>
  <si>
    <t>80</t>
  </si>
  <si>
    <t>40</t>
  </si>
  <si>
    <t>50</t>
  </si>
  <si>
    <t>55</t>
  </si>
  <si>
    <t>60</t>
  </si>
  <si>
    <t>Уменьшить технологическую склонность Коррозийной Кислоты к Химии до 60</t>
  </si>
  <si>
    <t>Уменьшить технологическую склонность Винтовки с Оптикой к Огнестрельному Оружию до 60</t>
  </si>
  <si>
    <t>Револьвер с Глушителем</t>
  </si>
  <si>
    <t>Охотничье Ружье</t>
  </si>
  <si>
    <t>2-14</t>
  </si>
  <si>
    <t>Хороший Револьвер</t>
  </si>
  <si>
    <t>Пистолет с Глушителем</t>
  </si>
  <si>
    <t>Носитель Войны Дрока</t>
  </si>
  <si>
    <t>Пластинчатая Броня</t>
  </si>
  <si>
    <t>Бронзовая Пластинчатая Броня</t>
  </si>
  <si>
    <t>Электро-Броня Регенерации</t>
  </si>
  <si>
    <t>Электро-Броня</t>
  </si>
  <si>
    <t>Сверхлегкая Кольчуга</t>
  </si>
  <si>
    <t>2067</t>
  </si>
  <si>
    <t>1067</t>
  </si>
  <si>
    <t>Элитная Машинная Броня</t>
  </si>
  <si>
    <t>Огнеупорный Щит</t>
  </si>
  <si>
    <t>3000</t>
  </si>
  <si>
    <t>Короткий Лук</t>
  </si>
  <si>
    <t>Пиротехническая Винтовка</t>
  </si>
  <si>
    <t>Эльфийский Охотничий Лук</t>
  </si>
  <si>
    <t>Крит. по животным +50%</t>
  </si>
  <si>
    <t>3-10</t>
  </si>
  <si>
    <t>Лук Ужаса</t>
  </si>
  <si>
    <t>Шанс напугать +5%</t>
  </si>
  <si>
    <t>Зачарованный Лук</t>
  </si>
  <si>
    <t>Магический Лук</t>
  </si>
  <si>
    <t>Мистический Лук</t>
  </si>
  <si>
    <t>Тайный Лук</t>
  </si>
  <si>
    <t>3-3</t>
  </si>
  <si>
    <t>4-13</t>
  </si>
  <si>
    <t>420</t>
  </si>
  <si>
    <t>400</t>
  </si>
  <si>
    <t>2267</t>
  </si>
  <si>
    <t>1007</t>
  </si>
  <si>
    <t>287</t>
  </si>
  <si>
    <t>850</t>
  </si>
  <si>
    <t>1787</t>
  </si>
  <si>
    <t>3100</t>
  </si>
  <si>
    <t>2500</t>
  </si>
  <si>
    <t>90</t>
  </si>
  <si>
    <t>135</t>
  </si>
  <si>
    <t>175</t>
  </si>
  <si>
    <t>2100</t>
  </si>
  <si>
    <t>1400</t>
  </si>
  <si>
    <t>167</t>
  </si>
  <si>
    <t>285</t>
  </si>
  <si>
    <t>15-30</t>
  </si>
  <si>
    <t>Увеличить технологическую склонность Ослепляющей Гранаты к Взрывчатке до 25</t>
  </si>
  <si>
    <t>Увеличить технологическую склонность Дымовой Гранаты к Взрывчатке до 40</t>
  </si>
  <si>
    <t>Увеличить технологическую склонность Оглушающей Гранаты к Взрывчатке до 55</t>
  </si>
  <si>
    <t>Увеличить технологическую склонность Динамита к Взрывчатке до 90</t>
  </si>
  <si>
    <t>Добавить Хороший Посох на продажу в гастрономах</t>
  </si>
  <si>
    <t>Старый Кремневый Пистолет</t>
  </si>
  <si>
    <t>Кремневый Пистолет</t>
  </si>
  <si>
    <t>Старый Револьвер</t>
  </si>
  <si>
    <t>1-2</t>
  </si>
  <si>
    <t>Револьвер</t>
  </si>
  <si>
    <t>Винтовка</t>
  </si>
  <si>
    <t>Ружье Кларингтона</t>
  </si>
  <si>
    <t>Складное Ружье</t>
  </si>
  <si>
    <t>2-15</t>
  </si>
  <si>
    <t>Дробовик</t>
  </si>
  <si>
    <t>3-15</t>
  </si>
  <si>
    <t>Хороший Кремневый Пистолет</t>
  </si>
  <si>
    <t>6-11</t>
  </si>
  <si>
    <t>8-16</t>
  </si>
  <si>
    <t>6-14</t>
  </si>
  <si>
    <t>Дуэльный Пистолет</t>
  </si>
  <si>
    <t>Ржавая Винтовка</t>
  </si>
  <si>
    <t>Увеличить технологическую склонность Винтовки к Огнестрельному Оружию до 45</t>
  </si>
  <si>
    <t>Увеличить технологическую склонность Охотничего Ружья к Огнестрельному Оружию до 80</t>
  </si>
  <si>
    <t>Увеличить технологическую склонность Слоновьего Ружья к Огнестрельному Оружию до 90</t>
  </si>
  <si>
    <t>Увеличить технологическую склонность Дробовика к Огнестрельному Оружию до 70</t>
  </si>
  <si>
    <t>6-17</t>
  </si>
  <si>
    <t>5-11</t>
  </si>
  <si>
    <t>9</t>
  </si>
  <si>
    <t>Сокрушительный Молот</t>
  </si>
  <si>
    <t>Молот Инферно</t>
  </si>
  <si>
    <t>70</t>
  </si>
  <si>
    <t>110</t>
  </si>
  <si>
    <t>20</t>
  </si>
  <si>
    <t>Большое Вентигротское Ружье</t>
  </si>
  <si>
    <t>5-25</t>
  </si>
  <si>
    <t>2-20</t>
  </si>
  <si>
    <t>Уменьшить технологическую склонность Стали Карликов к Кузнечеству до 85</t>
  </si>
  <si>
    <t>1000</t>
  </si>
  <si>
    <t>470</t>
  </si>
  <si>
    <t>Кожаная Броня Стражи</t>
  </si>
  <si>
    <t>Смазанная Кожаная Броня Вора</t>
  </si>
  <si>
    <t>Смазанная Кожаная Броня</t>
  </si>
  <si>
    <t>1500</t>
  </si>
  <si>
    <t>Проклепанная Кожаная Броня</t>
  </si>
  <si>
    <t>Кольчуга</t>
  </si>
  <si>
    <t>677</t>
  </si>
  <si>
    <t>Кольчуга Стражи</t>
  </si>
  <si>
    <t>725</t>
  </si>
  <si>
    <t>Смазанная Кольчуга</t>
  </si>
  <si>
    <t>707</t>
  </si>
  <si>
    <t>760</t>
  </si>
  <si>
    <t>Элитная Кольчуга Стражи Каладона</t>
  </si>
  <si>
    <t>742</t>
  </si>
  <si>
    <t>800</t>
  </si>
  <si>
    <t>830</t>
  </si>
  <si>
    <t>Кольчуга Эльфов</t>
  </si>
  <si>
    <t>-25(+10)</t>
  </si>
  <si>
    <t>(+10)</t>
  </si>
  <si>
    <t>-20(+20)</t>
  </si>
  <si>
    <t>25</t>
  </si>
  <si>
    <t>(+5)</t>
  </si>
  <si>
    <t>Кольчуга Гномов</t>
  </si>
  <si>
    <t>-20</t>
  </si>
  <si>
    <t>12(+2)</t>
  </si>
  <si>
    <t>23</t>
  </si>
  <si>
    <t>-10</t>
  </si>
  <si>
    <t>23(+2)</t>
  </si>
  <si>
    <t>5(+2)</t>
  </si>
  <si>
    <t>-10(+5)</t>
  </si>
  <si>
    <t>Кольчуга Кинтарры</t>
  </si>
  <si>
    <t>-20(+10)</t>
  </si>
  <si>
    <t>-10(+10)</t>
  </si>
  <si>
    <t>-20(+15)</t>
  </si>
  <si>
    <t>900</t>
  </si>
  <si>
    <t>960</t>
  </si>
  <si>
    <t>3900</t>
  </si>
  <si>
    <t>3200</t>
  </si>
  <si>
    <t>22</t>
  </si>
  <si>
    <t>4000</t>
  </si>
  <si>
    <t>35</t>
  </si>
  <si>
    <t>600</t>
  </si>
  <si>
    <t>4500</t>
  </si>
  <si>
    <t>540</t>
  </si>
  <si>
    <t>555</t>
  </si>
  <si>
    <t>Заколдованная Кожаная Броня</t>
  </si>
  <si>
    <t>9(+5)</t>
  </si>
  <si>
    <t>16(+5)</t>
  </si>
  <si>
    <t>5(+5)</t>
  </si>
  <si>
    <t>9(+10)</t>
  </si>
  <si>
    <t>16(+10)</t>
  </si>
  <si>
    <t>5(+10)</t>
  </si>
  <si>
    <t>9(+15)</t>
  </si>
  <si>
    <t>16(+15)</t>
  </si>
  <si>
    <t>5(+15)</t>
  </si>
  <si>
    <t>(+15)</t>
  </si>
  <si>
    <t>9(+20)</t>
  </si>
  <si>
    <t>16(+20)</t>
  </si>
  <si>
    <t>5(+20)</t>
  </si>
  <si>
    <t>(+20)</t>
  </si>
  <si>
    <t>Магическая Кожаная Броня</t>
  </si>
  <si>
    <t>Мистическая Кожаная Броня</t>
  </si>
  <si>
    <t>Тайная Кожаная Броня</t>
  </si>
  <si>
    <t>-10(+6)</t>
  </si>
  <si>
    <t>5(+3)</t>
  </si>
  <si>
    <t>(+3)</t>
  </si>
  <si>
    <t>5(+6)</t>
  </si>
  <si>
    <t>(+6)</t>
  </si>
  <si>
    <t>(+9)</t>
  </si>
  <si>
    <t>(+12)</t>
  </si>
  <si>
    <t>-10(+2)</t>
  </si>
  <si>
    <t>-10(+4)</t>
  </si>
  <si>
    <t>Кольчуга Мифрила</t>
  </si>
  <si>
    <t>150</t>
  </si>
  <si>
    <t>200</t>
  </si>
  <si>
    <t>-25</t>
  </si>
  <si>
    <t>-10(+20)</t>
  </si>
  <si>
    <t>Заколдованная Кольчуга</t>
  </si>
  <si>
    <t>12(+5)</t>
  </si>
  <si>
    <t>23(+5)</t>
  </si>
  <si>
    <t>Магическая Кольчуга</t>
  </si>
  <si>
    <t>Мистическая Кольчуга</t>
  </si>
  <si>
    <t>Тайная Кольчуга</t>
  </si>
  <si>
    <t>12(+10)</t>
  </si>
  <si>
    <t>23(+10)</t>
  </si>
  <si>
    <t>12(+15)</t>
  </si>
  <si>
    <t>23(+15)</t>
  </si>
  <si>
    <t>12(+20)</t>
  </si>
  <si>
    <t>23(+20)</t>
  </si>
  <si>
    <t>-10(+15)</t>
  </si>
  <si>
    <t>12(+6)</t>
  </si>
  <si>
    <t>-25(+12)</t>
  </si>
  <si>
    <t>Пластинчатая Броня Мифрила</t>
  </si>
  <si>
    <t>Заколдованная Пластинчатая Броня</t>
  </si>
  <si>
    <t>15(+4)</t>
  </si>
  <si>
    <t>36(+4)</t>
  </si>
  <si>
    <t>(+4)</t>
  </si>
  <si>
    <t>Магическая Пластинчатая Броня</t>
  </si>
  <si>
    <t>Мистическая Пластинчатая Броня</t>
  </si>
  <si>
    <t>Тайная Пластинчатая Броня</t>
  </si>
  <si>
    <t>15(+6)</t>
  </si>
  <si>
    <t>36(+6)</t>
  </si>
  <si>
    <t>10(+6)</t>
  </si>
  <si>
    <t>-20(+5)</t>
  </si>
  <si>
    <t>-80(+5)</t>
  </si>
  <si>
    <t>10(+4)</t>
  </si>
  <si>
    <t>-80(+10)</t>
  </si>
  <si>
    <t>15(+8)</t>
  </si>
  <si>
    <t>36(+8)</t>
  </si>
  <si>
    <t>10(+8)</t>
  </si>
  <si>
    <t>(+8)</t>
  </si>
  <si>
    <t>-80</t>
  </si>
  <si>
    <t>-80(+15)</t>
  </si>
  <si>
    <t>15(+10)</t>
  </si>
  <si>
    <t>36(+10)</t>
  </si>
  <si>
    <t>10(+10)</t>
  </si>
  <si>
    <t>15(+5)</t>
  </si>
  <si>
    <t>20(+10)</t>
  </si>
  <si>
    <t>+10(+5)</t>
  </si>
  <si>
    <t>15</t>
  </si>
  <si>
    <t>15(+3)</t>
  </si>
  <si>
    <t>-60</t>
  </si>
  <si>
    <t>28</t>
  </si>
  <si>
    <t>15(+9)</t>
  </si>
  <si>
    <t>15(+12)</t>
  </si>
  <si>
    <t>10(+12)</t>
  </si>
  <si>
    <t>34</t>
  </si>
  <si>
    <t>Магическая Роба</t>
  </si>
  <si>
    <t>Заколдованная Роба</t>
  </si>
  <si>
    <t>2(+5)</t>
  </si>
  <si>
    <t>2(+10)</t>
  </si>
  <si>
    <t>Мистическая Роба</t>
  </si>
  <si>
    <t>Тайная Роба</t>
  </si>
  <si>
    <t>2(+20)</t>
  </si>
  <si>
    <t>2(+35)</t>
  </si>
  <si>
    <t>(+35)</t>
  </si>
  <si>
    <t>2(+50)</t>
  </si>
  <si>
    <t>(+50)</t>
  </si>
  <si>
    <t>(+30)</t>
  </si>
  <si>
    <t>(+40)</t>
  </si>
  <si>
    <t>Заколдованный Дорожный Плащ</t>
  </si>
  <si>
    <t>Магический Дорожный Плащ</t>
  </si>
  <si>
    <t>Мистический Дорожный Плащ</t>
  </si>
  <si>
    <t>Тайный Дорожный Плащ</t>
  </si>
  <si>
    <t>3(+5)</t>
  </si>
  <si>
    <t>3(+10)</t>
  </si>
  <si>
    <t>2(+15)</t>
  </si>
  <si>
    <t>3(+20)</t>
  </si>
  <si>
    <t>Заколдованный Шлем</t>
  </si>
  <si>
    <t>Магический Шлем</t>
  </si>
  <si>
    <t>Мистический Шлем</t>
  </si>
  <si>
    <t>Тайный Шлем</t>
  </si>
  <si>
    <t>12(+4)</t>
  </si>
  <si>
    <t>12(+8)</t>
  </si>
  <si>
    <t>Перчатки Ловкости</t>
  </si>
  <si>
    <t>Рукавицы Ловкости</t>
  </si>
  <si>
    <t>2</t>
  </si>
  <si>
    <t>Заколдованные Рукавицы</t>
  </si>
  <si>
    <t>Магические Рукавицы</t>
  </si>
  <si>
    <t>Мистические Рукавицы</t>
  </si>
  <si>
    <t>Тайные Рукавицы</t>
  </si>
  <si>
    <t>Кожаные Перчатки</t>
  </si>
  <si>
    <t>30</t>
  </si>
  <si>
    <t>ПВ:+1</t>
  </si>
  <si>
    <t>(+2)</t>
  </si>
  <si>
    <t>5(+4)</t>
  </si>
  <si>
    <t>2(+2)</t>
  </si>
  <si>
    <t>2(+8)</t>
  </si>
  <si>
    <t>2(+6)</t>
  </si>
  <si>
    <t>2(+4)</t>
  </si>
  <si>
    <t>587</t>
  </si>
  <si>
    <t>2087</t>
  </si>
  <si>
    <t>3400</t>
  </si>
  <si>
    <t>1150</t>
  </si>
  <si>
    <t>1800</t>
  </si>
  <si>
    <t>18(-10)</t>
  </si>
  <si>
    <t>45(-15)</t>
  </si>
  <si>
    <t>10(-10)</t>
  </si>
  <si>
    <t>65(-75)</t>
  </si>
  <si>
    <t>60(-80)</t>
  </si>
  <si>
    <t>25(-10)</t>
  </si>
  <si>
    <t>40(-10)</t>
  </si>
  <si>
    <t>20(-10)</t>
  </si>
  <si>
    <t>20(-20)</t>
  </si>
  <si>
    <t>-10(-10)</t>
  </si>
  <si>
    <t>1170</t>
  </si>
  <si>
    <t>1220</t>
  </si>
  <si>
    <t>270</t>
  </si>
  <si>
    <t>Боевые Рукавицы Карликов</t>
  </si>
  <si>
    <t>550</t>
  </si>
  <si>
    <t>320</t>
  </si>
  <si>
    <t>Увеличить технологическую склонность Элитной Машинной Брони к Кузнечеству до 100</t>
  </si>
  <si>
    <t>-70</t>
  </si>
  <si>
    <t>18</t>
  </si>
  <si>
    <t>36</t>
  </si>
  <si>
    <t>1850</t>
  </si>
  <si>
    <t>55(-80)</t>
  </si>
  <si>
    <t>1900</t>
  </si>
  <si>
    <t>Железная Пластинчатая Броня</t>
  </si>
  <si>
    <t>262</t>
  </si>
  <si>
    <t>825</t>
  </si>
  <si>
    <t>1762</t>
  </si>
  <si>
    <t>3075</t>
  </si>
  <si>
    <t>657</t>
  </si>
  <si>
    <t>2157</t>
  </si>
  <si>
    <t>3470</t>
  </si>
  <si>
    <t>-15(+12)</t>
  </si>
  <si>
    <t>7(+12)</t>
  </si>
  <si>
    <t>24(+12)</t>
  </si>
  <si>
    <t>13(+12)</t>
  </si>
  <si>
    <t>Заколдованный Щит</t>
  </si>
  <si>
    <t>Магический Щит</t>
  </si>
  <si>
    <t>Мистический Щит</t>
  </si>
  <si>
    <t>Тайный Щит</t>
  </si>
  <si>
    <t>10(+16)</t>
  </si>
  <si>
    <t>2(+12)</t>
  </si>
  <si>
    <t>2(+16)</t>
  </si>
  <si>
    <t>367</t>
  </si>
  <si>
    <t>930</t>
  </si>
  <si>
    <t>1867</t>
  </si>
  <si>
    <t>3180</t>
  </si>
  <si>
    <t>85</t>
  </si>
  <si>
    <t>Качественный Железный Щит</t>
  </si>
  <si>
    <t>125</t>
  </si>
  <si>
    <t>(+18)</t>
  </si>
  <si>
    <t>(+24)</t>
  </si>
  <si>
    <t>300</t>
  </si>
  <si>
    <t>950</t>
  </si>
  <si>
    <t>220</t>
  </si>
  <si>
    <t>160</t>
  </si>
  <si>
    <t>1110</t>
  </si>
  <si>
    <t>450</t>
  </si>
  <si>
    <t>275</t>
  </si>
  <si>
    <t>2467</t>
  </si>
  <si>
    <t>210</t>
  </si>
  <si>
    <t>580</t>
  </si>
  <si>
    <t>1200</t>
  </si>
  <si>
    <t>121</t>
  </si>
  <si>
    <t>192</t>
  </si>
  <si>
    <t>240</t>
  </si>
  <si>
    <t>2250</t>
  </si>
  <si>
    <t>(+16)</t>
  </si>
  <si>
    <t>-15(+16)</t>
  </si>
  <si>
    <t>7(+16)</t>
  </si>
  <si>
    <t>24(+16)</t>
  </si>
  <si>
    <t>13(+16)</t>
  </si>
  <si>
    <t>-25(+16)</t>
  </si>
  <si>
    <t>-15(+8)</t>
  </si>
  <si>
    <t>7(+8)</t>
  </si>
  <si>
    <t>24(+8)</t>
  </si>
  <si>
    <t>13(+8)</t>
  </si>
  <si>
    <t>-25(+8)</t>
  </si>
  <si>
    <t>-15(+4)</t>
  </si>
  <si>
    <t>7(+4)</t>
  </si>
  <si>
    <t>24(+4)</t>
  </si>
  <si>
    <t>13(+4)</t>
  </si>
  <si>
    <t>-25(+4)</t>
  </si>
  <si>
    <t>-15(+25)</t>
  </si>
  <si>
    <t>15(+25)</t>
  </si>
  <si>
    <t>(+25)</t>
  </si>
  <si>
    <t>750</t>
  </si>
  <si>
    <t>2000</t>
  </si>
  <si>
    <t>-4(+6)</t>
  </si>
  <si>
    <t>-4(+12)</t>
  </si>
  <si>
    <t>-4(+18)</t>
  </si>
  <si>
    <t>-4(+24)</t>
  </si>
  <si>
    <t>25(+10)</t>
  </si>
  <si>
    <t>1300</t>
  </si>
  <si>
    <t>2050</t>
  </si>
  <si>
    <t>1950</t>
  </si>
  <si>
    <t>-10(+25)</t>
  </si>
  <si>
    <t>2750</t>
  </si>
  <si>
    <t>3800</t>
  </si>
  <si>
    <t>Роба Священника</t>
  </si>
  <si>
    <t>-15</t>
  </si>
  <si>
    <t>Роба</t>
  </si>
  <si>
    <t>-5</t>
  </si>
  <si>
    <t>Теневая Роба</t>
  </si>
  <si>
    <t>7</t>
  </si>
  <si>
    <t>Качественная Роба</t>
  </si>
  <si>
    <t>3(+8)</t>
  </si>
  <si>
    <t>Роба Мага</t>
  </si>
  <si>
    <t>4(+8)</t>
  </si>
  <si>
    <t>4(+6)</t>
  </si>
  <si>
    <t>4(+4)</t>
  </si>
  <si>
    <t>4(+2)</t>
  </si>
  <si>
    <t>Дорожный Плащ</t>
  </si>
  <si>
    <t>Темный Шлем</t>
  </si>
  <si>
    <t>4(+24)</t>
  </si>
  <si>
    <t>4(+18)</t>
  </si>
  <si>
    <t>4(+12)</t>
  </si>
  <si>
    <t>75</t>
  </si>
  <si>
    <t>-4</t>
  </si>
  <si>
    <t>680</t>
  </si>
  <si>
    <t>700</t>
  </si>
  <si>
    <t>1870</t>
  </si>
  <si>
    <t>7(+6)</t>
  </si>
  <si>
    <t>7(+18)</t>
  </si>
  <si>
    <t>7(+24)</t>
  </si>
  <si>
    <t>СМ в описании не видно</t>
  </si>
  <si>
    <t>790</t>
  </si>
  <si>
    <t>-25(+5)</t>
  </si>
  <si>
    <t>-25(+15)</t>
  </si>
  <si>
    <t>20(+25)</t>
  </si>
  <si>
    <t>8(+25)</t>
  </si>
  <si>
    <t>2120</t>
  </si>
  <si>
    <t>1687</t>
  </si>
  <si>
    <t>3187</t>
  </si>
  <si>
    <t>5(+25)</t>
  </si>
  <si>
    <t>Сверхлегкая Палица</t>
  </si>
  <si>
    <t>Огнезащитный Гель</t>
  </si>
  <si>
    <t>СО:+15 (временно)</t>
  </si>
  <si>
    <t>7-17</t>
  </si>
  <si>
    <t>4-10</t>
  </si>
  <si>
    <t>465</t>
  </si>
  <si>
    <t>310</t>
  </si>
  <si>
    <t>475</t>
  </si>
  <si>
    <t>185</t>
  </si>
  <si>
    <t>115</t>
  </si>
  <si>
    <t>1111</t>
  </si>
  <si>
    <t>Броня для Крадущихся</t>
  </si>
  <si>
    <t>95</t>
  </si>
  <si>
    <t>50(-30)</t>
  </si>
  <si>
    <t>500(-150)</t>
  </si>
  <si>
    <t>400(-100)</t>
  </si>
  <si>
    <t>500(-350)</t>
  </si>
  <si>
    <t>1</t>
  </si>
  <si>
    <t>Хороший Костюм</t>
  </si>
  <si>
    <t>Реакция окружающих +20</t>
  </si>
  <si>
    <t>Смокинг</t>
  </si>
  <si>
    <t>Одежда Слуги</t>
  </si>
  <si>
    <t>Сельская Одежда</t>
  </si>
  <si>
    <t>Простое Платье</t>
  </si>
  <si>
    <t>Платье Служанки</t>
  </si>
  <si>
    <t>Сельское Платье</t>
  </si>
  <si>
    <t>Элегантное Платье</t>
  </si>
  <si>
    <t>Лучшее Воскресное Платье</t>
  </si>
  <si>
    <t>Красивое Платье</t>
  </si>
  <si>
    <t>Реакция окружающих +5</t>
  </si>
  <si>
    <t>Куртка</t>
  </si>
  <si>
    <t>Увеличить технологическую склонность Бронебойной Пушки к Огнестрельному Оружию до 100</t>
  </si>
  <si>
    <t>Увеличить технологическую склонность Гарпуна к Огнестрельному Оружию до 95</t>
  </si>
  <si>
    <t>510</t>
  </si>
  <si>
    <t>18-24</t>
  </si>
  <si>
    <t>2345</t>
  </si>
  <si>
    <t>1670</t>
  </si>
  <si>
    <t>397</t>
  </si>
  <si>
    <t>387</t>
  </si>
  <si>
    <t>1280</t>
  </si>
  <si>
    <t>3300</t>
  </si>
  <si>
    <t>2195</t>
  </si>
  <si>
    <t>1987</t>
  </si>
  <si>
    <t>2217</t>
  </si>
  <si>
    <t>3500</t>
  </si>
  <si>
    <t>3250</t>
  </si>
  <si>
    <t>891</t>
  </si>
  <si>
    <t>2907</t>
  </si>
  <si>
    <t>425</t>
  </si>
  <si>
    <t>138</t>
  </si>
  <si>
    <t>1011</t>
  </si>
  <si>
    <t>3030</t>
  </si>
  <si>
    <t>347</t>
  </si>
  <si>
    <t>Украшенный Пистолет</t>
  </si>
  <si>
    <t>165</t>
  </si>
  <si>
    <t>155</t>
  </si>
  <si>
    <t>375</t>
  </si>
  <si>
    <t>485</t>
  </si>
  <si>
    <t>1700</t>
  </si>
  <si>
    <t>888</t>
  </si>
  <si>
    <t>8-24</t>
  </si>
  <si>
    <t>3456</t>
  </si>
  <si>
    <t>Добротный Револьвер</t>
  </si>
  <si>
    <t>Добавить Перевязки в ассортимент начального торговца</t>
  </si>
  <si>
    <t>Укрепитель</t>
  </si>
  <si>
    <t>Увеличить технологическую склонность Хлористого Калия к Химии до 75</t>
  </si>
  <si>
    <t>Уменьшить размеры Обычного, Заточенного и Сбалансированного бумерангов в руке</t>
  </si>
  <si>
    <t>Добавить наземные арты для всех шлемов</t>
  </si>
  <si>
    <t>Добавить наземные арты для всех перчаток</t>
  </si>
  <si>
    <t>Добавить наземные арты для всех сапогов</t>
  </si>
  <si>
    <t>Зачарованные Военные Ботинки</t>
  </si>
  <si>
    <t>40-60</t>
  </si>
  <si>
    <t>Добавить наземные арты для всех медальонов</t>
  </si>
  <si>
    <t>Добавить наземные арты для всех компонентов и результатов Гербологии</t>
  </si>
  <si>
    <t>Добавить наземные арты для всех компонентов и результатов Химии</t>
  </si>
  <si>
    <t>Добавить наземные арты для всех компонентов и результатов Электрики</t>
  </si>
  <si>
    <t>Добавить наземные арты для всех компонентов и результатов Взрывчатки</t>
  </si>
  <si>
    <t>Добавить наземные арты для всех компонентов и результатов Оружейного Дела</t>
  </si>
  <si>
    <t>Добавить наземные арты для всех компонентов и результатов Механики</t>
  </si>
  <si>
    <t>Добавить наземные арты для всех компонентов и результатов Кузнечества</t>
  </si>
  <si>
    <t>Добавить наземные арты для всех компонентов и результатов Терапевтики</t>
  </si>
  <si>
    <t>Изменить изображение Большого Шлема в инвентаре на такое же как у Шлема Гелеама</t>
  </si>
  <si>
    <t>Уменьшить технологическую склонность Глазных Окуляров к Механике до 50</t>
  </si>
  <si>
    <t>Увеличить технологическую склонность Укрепителя к Химии до 88</t>
  </si>
  <si>
    <t>Добавить наземные арты для всех колец</t>
  </si>
  <si>
    <t>5000</t>
  </si>
  <si>
    <t>Малая Кожаная Броня Убийцы</t>
  </si>
  <si>
    <t>Уменьшить количество Оглушающих Гранат, получаемых при сборке по схеме, с 4 до 3</t>
  </si>
  <si>
    <t>Уменьшить технологическую склонность Галлюцината к Химии до 75</t>
  </si>
  <si>
    <t>Увеличить технологическую склонность Транквилизатора к Химии до 90</t>
  </si>
  <si>
    <t>Увеличить технологическую склонность Медвежьей Ловушки к Механике до 75</t>
  </si>
  <si>
    <t>Уменьшить технологическую склонность Энергетика к Терапевтике до 90</t>
  </si>
  <si>
    <t>Уменьшить количество Эликсиров Убеждения и Тоников Физической Удали, получаемых при сборке по схеме, с 3 до 2</t>
  </si>
  <si>
    <t>Уменьшить количество Зелий Внимания и Ускорителей Рефлексов, получаемых при сборке по схеме, с 3 до 2</t>
  </si>
  <si>
    <t>Эссенция Интеллекта</t>
  </si>
  <si>
    <t>Зелье Ускорения</t>
  </si>
  <si>
    <t>Яд Калиспи</t>
  </si>
  <si>
    <t>ЛВ:+2 (временно)</t>
  </si>
  <si>
    <t>Ускоритель Рефлексов</t>
  </si>
  <si>
    <t>Добавить наземные арты для всех зелий</t>
  </si>
  <si>
    <t>Увеличить технологическую склонность Металлических Ботинок к Кузнечеству до 40</t>
  </si>
  <si>
    <t>Уменьшить технологическую склонность Механических Ботинок к Кузнечеству со 100 до 55</t>
  </si>
  <si>
    <t>Уменьшить технологическую склонность Арбалета к Огнестрельному Оружию до 65</t>
  </si>
  <si>
    <t>Исправить изображение Медицинского Набора (убрать синеватую оконтовку)</t>
  </si>
  <si>
    <t>Большая Кольчуга</t>
  </si>
  <si>
    <t>Большая Смазанная Кольчуга</t>
  </si>
  <si>
    <t>Увеличить технологическую склонность Железной Пластинчатой Брони к Кузнечеству до 65</t>
  </si>
  <si>
    <t>Увеличить технологическую склонность Кольчуги к Кузнечеству с 5 до 55</t>
  </si>
  <si>
    <t>Увеличить технологическую склонность Смазанной Кольчуги к Кузнечеству с 5 до 60</t>
  </si>
  <si>
    <t>Щит Силы</t>
  </si>
  <si>
    <t>Щит Злобы</t>
  </si>
  <si>
    <t>Теневой Щит</t>
  </si>
  <si>
    <t>Военные Сапоги</t>
  </si>
  <si>
    <t>Электро-Сапоги</t>
  </si>
  <si>
    <t>Увеличить технологическую склонность Бронзовой Пластинчатой Брони к Кузнечеству до 70</t>
  </si>
  <si>
    <t>1260</t>
  </si>
  <si>
    <t>660</t>
  </si>
  <si>
    <t>666</t>
  </si>
  <si>
    <t>Магический Кинжал</t>
  </si>
  <si>
    <t>Мистический Кинжал</t>
  </si>
  <si>
    <t>Тайный Кинжал</t>
  </si>
  <si>
    <t>Кинжал Мага</t>
  </si>
  <si>
    <t>Изменить технологическую склонность Механического Кинжала с 33 к Кузнечеству до 85 к Механике</t>
  </si>
  <si>
    <t>Кинжал Скорости</t>
  </si>
  <si>
    <t>Энергия:+10</t>
  </si>
  <si>
    <t>Энергия:+20</t>
  </si>
  <si>
    <t>Энергия:+5</t>
  </si>
  <si>
    <t>2-4</t>
  </si>
  <si>
    <t>Увеличить магическую склонность Кинжала Скорости с 10 до 40</t>
  </si>
  <si>
    <t>Энергия:+30</t>
  </si>
  <si>
    <t>Зачарованный Кинжал</t>
  </si>
  <si>
    <t>247</t>
  </si>
  <si>
    <t>810</t>
  </si>
  <si>
    <t>1747</t>
  </si>
  <si>
    <t>3060</t>
  </si>
  <si>
    <t>Увеличить технологическую склонность Стилета к Кузнечеству до 25</t>
  </si>
  <si>
    <t>Зачарованный Меч</t>
  </si>
  <si>
    <t>Энергия:+4</t>
  </si>
  <si>
    <t>Энергия:+8</t>
  </si>
  <si>
    <t>Магический Меч</t>
  </si>
  <si>
    <t>Мистический Меч</t>
  </si>
  <si>
    <t>Тайный Меч</t>
  </si>
  <si>
    <t>Энергия:+16</t>
  </si>
  <si>
    <t>Зачарованный Топор</t>
  </si>
  <si>
    <t>Ржавый Топор</t>
  </si>
  <si>
    <t>Топор</t>
  </si>
  <si>
    <t>Магический Топор</t>
  </si>
  <si>
    <t>Мистический Топор</t>
  </si>
  <si>
    <t>Тайный Топор</t>
  </si>
  <si>
    <t>Зачарованная Палица</t>
  </si>
  <si>
    <t>Магическая Палица</t>
  </si>
  <si>
    <t>Мистическая Палица</t>
  </si>
  <si>
    <t>Тайная Палица</t>
  </si>
  <si>
    <t>Зачарованный Большой Меч</t>
  </si>
  <si>
    <t>Магический Большой Меч</t>
  </si>
  <si>
    <t>Мистический Большой Меч</t>
  </si>
  <si>
    <t>Тайный Большой Меч</t>
  </si>
  <si>
    <t>Увеличить размер картинки Бронзовой Варварской Брони</t>
  </si>
  <si>
    <t>Уменьшить размер картинки Малой Стальной Варварской Брони, Малой Красной Варварской Брони и Малой Варварской Брони Ужаса</t>
  </si>
  <si>
    <t>Энергия:+32</t>
  </si>
  <si>
    <t>Энергия:+24</t>
  </si>
  <si>
    <t>Шанс оглушить +10%</t>
  </si>
  <si>
    <t>Шанс оглушить +7%</t>
  </si>
  <si>
    <t>Шанс оглушить +5%</t>
  </si>
  <si>
    <t>65</t>
  </si>
  <si>
    <t>2530</t>
  </si>
  <si>
    <t>530</t>
  </si>
  <si>
    <t>2800</t>
  </si>
  <si>
    <t>2856</t>
  </si>
  <si>
    <t>4080</t>
  </si>
  <si>
    <t>Тяжелый Клинок</t>
  </si>
  <si>
    <t>Ржавый Тяжелый Клинок</t>
  </si>
  <si>
    <t>337</t>
  </si>
  <si>
    <t>1837</t>
  </si>
  <si>
    <t>3150</t>
  </si>
  <si>
    <t>2900</t>
  </si>
  <si>
    <t>Изменить изображение Маленьких Электрических Частей и переименовать их в Малый Электрокомпонент</t>
  </si>
  <si>
    <t>Поменять местами изображения Магического Меча и Мистического Меча</t>
  </si>
  <si>
    <t>Сделать новое изображение Мистического Меча на основе Тайного</t>
  </si>
  <si>
    <t>Околдованный Меч</t>
  </si>
  <si>
    <t>Меч Паладина</t>
  </si>
  <si>
    <t>Изменить изображение Околдованного Меча на неиспользуемое в игре «i_venomSword.ART»</t>
  </si>
  <si>
    <t>Стальная Варварская Броня</t>
  </si>
  <si>
    <t>Бронзовая Варварская Броня</t>
  </si>
  <si>
    <t>Убрать технологическую склонность Стальной Варварской Брони</t>
  </si>
  <si>
    <t>Красная Варварская Броня</t>
  </si>
  <si>
    <t>(+70)</t>
  </si>
  <si>
    <t>26</t>
  </si>
  <si>
    <t>Варварская Броня Ужаса</t>
  </si>
  <si>
    <t>19(+31)</t>
  </si>
  <si>
    <t>10000</t>
  </si>
  <si>
    <t>1000(-250)</t>
  </si>
  <si>
    <t>500(-250)</t>
  </si>
  <si>
    <t>450(-200)</t>
  </si>
  <si>
    <t>500(-200)</t>
  </si>
  <si>
    <t>10(+30)</t>
  </si>
  <si>
    <t>-15(+30)</t>
  </si>
  <si>
    <t>45</t>
  </si>
  <si>
    <t>650</t>
  </si>
  <si>
    <t>Реакция окружающих -5</t>
  </si>
  <si>
    <t>Реакция окружающих -15</t>
  </si>
  <si>
    <t>Реакция окружающих -10</t>
  </si>
  <si>
    <t>Реакция окружающих -10, ЗД:-30</t>
  </si>
  <si>
    <t>1580</t>
  </si>
  <si>
    <t>2222</t>
  </si>
  <si>
    <t>Варварская Броня Магии Крови</t>
  </si>
  <si>
    <t>16(+30)</t>
  </si>
  <si>
    <t>28(-15)</t>
  </si>
  <si>
    <t>Меч Защиты</t>
  </si>
  <si>
    <t>КБ:+15</t>
  </si>
  <si>
    <t>217</t>
  </si>
  <si>
    <t>Призыв Зверя</t>
  </si>
  <si>
    <t>Добротный Топор</t>
  </si>
  <si>
    <t>3-14</t>
  </si>
  <si>
    <t>Топор Силы</t>
  </si>
  <si>
    <t>Топор Жнеца</t>
  </si>
  <si>
    <t>СЛ:+1  ТС:+1</t>
  </si>
  <si>
    <t>Клинок Тихих Вод</t>
  </si>
  <si>
    <t>630</t>
  </si>
  <si>
    <t>6-12</t>
  </si>
  <si>
    <t>Поменять местами изображения Мистического и Тайного Топоров</t>
  </si>
  <si>
    <t>267</t>
  </si>
  <si>
    <t>5-8</t>
  </si>
  <si>
    <t>505</t>
  </si>
  <si>
    <t>386</t>
  </si>
  <si>
    <t>437</t>
  </si>
  <si>
    <t>1937</t>
  </si>
  <si>
    <t>2300</t>
  </si>
  <si>
    <t>Увеличить изображение Зачарованного Большого Меча до уровня остальных больших мечей</t>
  </si>
  <si>
    <t>Варварский Тяжелый Клинок</t>
  </si>
  <si>
    <t>Поменять местами изображения Зачарованного Большого Меча и Магического Большого Меча</t>
  </si>
  <si>
    <t>Коктейль Молотова</t>
  </si>
  <si>
    <t>Взрывающаяся Граната</t>
  </si>
  <si>
    <t>Разрывная Граната</t>
  </si>
  <si>
    <t>Контузионная Граната</t>
  </si>
  <si>
    <t>Осколочная Граната</t>
  </si>
  <si>
    <t>50-100</t>
  </si>
  <si>
    <t>Граната Электрошока</t>
  </si>
  <si>
    <t>Граната с Горчичным Газом</t>
  </si>
  <si>
    <t>5-30</t>
  </si>
  <si>
    <t>25-50</t>
  </si>
  <si>
    <t>15-25</t>
  </si>
  <si>
    <t>Дальность</t>
  </si>
  <si>
    <t>Звезда Азрама</t>
  </si>
  <si>
    <t>Воздушный Рубильщик</t>
  </si>
  <si>
    <t>Бумеранг</t>
  </si>
  <si>
    <t>Сбалансированный Бумеранг</t>
  </si>
  <si>
    <t>Заточенный Бумеранг</t>
  </si>
  <si>
    <t>Чакрам</t>
  </si>
  <si>
    <t>Зубчатый Чакрам</t>
  </si>
  <si>
    <t>Мистический Чакрам</t>
  </si>
  <si>
    <t>Заряженный Бумеранг</t>
  </si>
  <si>
    <t>Зачарованный Чакрам</t>
  </si>
  <si>
    <t>Магический Чакрам</t>
  </si>
  <si>
    <t>6-9</t>
  </si>
  <si>
    <t>50(-40)</t>
  </si>
  <si>
    <t>Энергия:+40</t>
  </si>
  <si>
    <t>Энергия:+60</t>
  </si>
  <si>
    <t>Энергия:+80</t>
  </si>
  <si>
    <t>Зачарованный Посох</t>
  </si>
  <si>
    <t>Магический Посох</t>
  </si>
  <si>
    <t>Мистический Посох</t>
  </si>
  <si>
    <t>Тайный Посох</t>
  </si>
  <si>
    <t>Броня Ужаса</t>
  </si>
  <si>
    <t>Меч</t>
  </si>
  <si>
    <t>Посох</t>
  </si>
  <si>
    <t>Добротный Посох</t>
  </si>
  <si>
    <t>Хороший Посох</t>
  </si>
  <si>
    <t>Посох Лечения</t>
  </si>
  <si>
    <t>Большое Излечение</t>
  </si>
  <si>
    <t>Посох Шамана</t>
  </si>
  <si>
    <t>Посох Мага</t>
  </si>
  <si>
    <t>Крит +15%</t>
  </si>
  <si>
    <t>Крит +20%</t>
  </si>
  <si>
    <t>Большое Излечение, Спокойствие, Регенерация</t>
  </si>
  <si>
    <t>Плазменный Шар</t>
  </si>
  <si>
    <t>Вред, Вызвать Нежить, Большое Излечение</t>
  </si>
  <si>
    <t>Посох Некроманта</t>
  </si>
  <si>
    <t>Иллюминация, Щит Двеомера, Энергия:+50</t>
  </si>
  <si>
    <t>1750</t>
  </si>
  <si>
    <t>1180</t>
  </si>
  <si>
    <t xml:space="preserve"> - заимствовано</t>
  </si>
  <si>
    <t>30-40</t>
  </si>
  <si>
    <t>1887</t>
  </si>
  <si>
    <t>Военные Рукавицы Вендигрота</t>
  </si>
  <si>
    <t>Кожаные Перчатки Вендигрота</t>
  </si>
  <si>
    <t>Кожаные Рукавицы Вендигрота</t>
  </si>
  <si>
    <t>Перчатки Легкой Руки</t>
  </si>
  <si>
    <t>Перчатки Возничего</t>
  </si>
  <si>
    <t>Эликсир Убеждения</t>
  </si>
  <si>
    <t>Увеличить технологическую склонность Рамы Оружия к Огнестрельному Оружию до 40</t>
  </si>
  <si>
    <t>Увеличить технологическую склонность Древней Рамы Оружия к Огнестрельному Оружию до 80</t>
  </si>
  <si>
    <t>Уменьшает отравление на 80 единиц</t>
  </si>
  <si>
    <t>Уменьшает отравление на 100 единиц</t>
  </si>
  <si>
    <t>ПВ:(+2)</t>
  </si>
  <si>
    <t>ПВ:(+4)</t>
  </si>
  <si>
    <t>Парализатор</t>
  </si>
  <si>
    <t>Вызывает паралич на 8 секунд</t>
  </si>
  <si>
    <t>Заменить Винтовку в ассортименте начального торговца на Ржавую Винтовку</t>
  </si>
  <si>
    <t>Заменить Охотничье Ружье в ассортименте сельского Кузнеца на Револьвер</t>
  </si>
  <si>
    <t>ПЭ:3-5 Атакующему</t>
  </si>
  <si>
    <t>Раздел науки, в кторый попадает схема, определяется технологической склонностью результата сборки (поправить все косячные схемы)</t>
  </si>
  <si>
    <t>Клинок Прикосновения Вампира</t>
  </si>
  <si>
    <t>Узнать Направленность, Лечение Яда, Святилище</t>
  </si>
  <si>
    <t>Увеличить количество Парализаторов, получаемых при сборке по схеме, с 1 до 2</t>
  </si>
  <si>
    <t>Увеличить количество Транквилизаторов, получаемых при сборке по схеме, с 1 до 2</t>
  </si>
  <si>
    <t>Увеличить технологическую склонность Металлических Стружек к Кузнечеству до 5</t>
  </si>
  <si>
    <t>Увеличить технологическую склонность Железной Руды к Кузнечеству до 8</t>
  </si>
  <si>
    <t>170</t>
  </si>
  <si>
    <t>7-15</t>
  </si>
  <si>
    <t>9-23</t>
  </si>
  <si>
    <t>Мучитель</t>
  </si>
  <si>
    <t>Повреждения согласно расе и характеру</t>
  </si>
  <si>
    <t>Пластинчатая Броня Стражи</t>
  </si>
  <si>
    <t>37</t>
  </si>
  <si>
    <t>19</t>
  </si>
  <si>
    <t>38</t>
  </si>
  <si>
    <t>Машинная Броня Стражи</t>
  </si>
  <si>
    <t>-50</t>
  </si>
  <si>
    <t>250(+300)</t>
  </si>
  <si>
    <t>Увеличить технологическую склонность Пластинчатой Брони Стражи к Кузнечеству до 70</t>
  </si>
  <si>
    <t>2580</t>
  </si>
  <si>
    <t>Увеличить технологическую склонность Реаниматора к Гербологии до 100</t>
  </si>
  <si>
    <t>Бронебойность 10%</t>
  </si>
  <si>
    <t>Бронебойность 15%</t>
  </si>
  <si>
    <t>Бронебойность 20%</t>
  </si>
  <si>
    <t>Машинная Броня</t>
  </si>
  <si>
    <t>-90</t>
  </si>
  <si>
    <t>2270</t>
  </si>
  <si>
    <t>Изменить раскраску Механизированного, Ядовитого и Медицинского арахнидов в инвентаре</t>
  </si>
  <si>
    <t>Замшевая Куртка</t>
  </si>
  <si>
    <t>Шерстяная Куртка</t>
  </si>
  <si>
    <t>Тяжелая Шерстяная Куртка</t>
  </si>
  <si>
    <t>50(-20)</t>
  </si>
  <si>
    <t>6(+5)</t>
  </si>
  <si>
    <t>50(-10)</t>
  </si>
  <si>
    <t>1075</t>
  </si>
  <si>
    <t>340</t>
  </si>
  <si>
    <t>Униформа Офицера</t>
  </si>
  <si>
    <t>Увеличить технологическую склонность Кольчуги Стражи к Кузнечеству до 60</t>
  </si>
  <si>
    <t>Увеличить технологическую склонность Элитной Кольчуги Стражи Каладона к Кузнечеству с 5 до 60</t>
  </si>
  <si>
    <t>Куртка с Защитой от Яда</t>
  </si>
  <si>
    <t>(+80)</t>
  </si>
  <si>
    <t>Убрать Робу Мага из продажи городского Портного</t>
  </si>
  <si>
    <t>30-30</t>
  </si>
  <si>
    <t>Динамит</t>
  </si>
  <si>
    <t>100-200</t>
  </si>
  <si>
    <t>Пластид</t>
  </si>
  <si>
    <t>Увеличить технологическую склонность Пластида к Взрывчатке до 100</t>
  </si>
  <si>
    <t>Часовая Бомба</t>
  </si>
  <si>
    <t>Наносит урон врагам, Разбрасывает</t>
  </si>
  <si>
    <t>Наносит урон всем</t>
  </si>
  <si>
    <t>Наносит урон врагам</t>
  </si>
  <si>
    <t>Нок-Аут Газ</t>
  </si>
  <si>
    <t>Увеличить технологическую склонность Часовой Бомбы к Взрывчатке до 95</t>
  </si>
  <si>
    <t>Увеличить технологическую склонность Гранаты с Горчичным Газом к Взрывчатке с 35 до 75</t>
  </si>
  <si>
    <t>Увеличить технологическую склонность Нок-Аут Газа к Взрывчатке с 20 до 95</t>
  </si>
  <si>
    <t>Увеличить технологическую склонность Осколочной Гранаты к Взрывчатке с 40 до 70</t>
  </si>
  <si>
    <t>Увеличить технологическую склонность Разрывной Гранаты к Взрывчатке с 60 до 65</t>
  </si>
  <si>
    <t>Барьер Огня</t>
  </si>
  <si>
    <t>Ослепляющая Граната</t>
  </si>
  <si>
    <t>Вызывает ослепление на 8 сек.</t>
  </si>
  <si>
    <t>Дымовая Граната</t>
  </si>
  <si>
    <t>Создает дымовую завесу на 8 сек.</t>
  </si>
  <si>
    <t>Оглушающая Граната</t>
  </si>
  <si>
    <t>Граната Галлюцинаций</t>
  </si>
  <si>
    <t>Парализующая Граната</t>
  </si>
  <si>
    <t>Оглушает противников на 5 сек.</t>
  </si>
  <si>
    <t>Увеличить технологическую склонность Барьера Огня к Взрывчатке с 45 до 75</t>
  </si>
  <si>
    <t>Увеличить технологическую склонность Парализующей Гранаты к Взрывчатке с 45 до 85</t>
  </si>
  <si>
    <t>Увеличить технологическую склонность Гранаты Галлюцинаций к Взрывчатке с 37 до 80</t>
  </si>
  <si>
    <t>Зелье Внимания</t>
  </si>
  <si>
    <t>ВС:+2 (временно)</t>
  </si>
  <si>
    <t>Тоник Физической Удали</t>
  </si>
  <si>
    <t>СЛ:+2 (временно)</t>
  </si>
  <si>
    <t>Чудо Разума</t>
  </si>
  <si>
    <t>Энергетик</t>
  </si>
  <si>
    <t>Восстановитель</t>
  </si>
  <si>
    <t>Все характеристики +2 (временно)</t>
  </si>
  <si>
    <t>Эликсир Физич. Удали</t>
  </si>
  <si>
    <t>Тоник Улучш. Рефлексов</t>
  </si>
  <si>
    <t>Увеличить технологическую склонность Электролита к Химии с 15 до 20</t>
  </si>
  <si>
    <t>Уровень</t>
  </si>
  <si>
    <t>Спокойствие</t>
  </si>
  <si>
    <t>Очаровать Зверя</t>
  </si>
  <si>
    <t>Искажение Пространства</t>
  </si>
  <si>
    <t>Стена Силы</t>
  </si>
  <si>
    <t>2/10</t>
  </si>
  <si>
    <t>1/5</t>
  </si>
  <si>
    <t>Узнать Направленность</t>
  </si>
  <si>
    <t>1/10</t>
  </si>
  <si>
    <t>Чувствовать Скрытое</t>
  </si>
  <si>
    <t>5/10</t>
  </si>
  <si>
    <t>2/5</t>
  </si>
  <si>
    <t>Узы Магии</t>
  </si>
  <si>
    <t>Путы</t>
  </si>
  <si>
    <t>Запутать</t>
  </si>
  <si>
    <t>Контролировать Зверя</t>
  </si>
  <si>
    <t>Помощь Зверя</t>
  </si>
  <si>
    <t>4/10</t>
  </si>
  <si>
    <t>Регенерация</t>
  </si>
  <si>
    <t>Вред</t>
  </si>
  <si>
    <t>Призвать Дух</t>
  </si>
  <si>
    <t>3/10</t>
  </si>
  <si>
    <t>Вызвать Нежить</t>
  </si>
  <si>
    <t>Создать Нежить</t>
  </si>
  <si>
    <t>Погасить Жизнь</t>
  </si>
  <si>
    <t>Бросить Камень</t>
  </si>
  <si>
    <t>Всплеск Энергии</t>
  </si>
  <si>
    <t>Молния</t>
  </si>
  <si>
    <t>Толчок</t>
  </si>
  <si>
    <t>Щит Защиты</t>
  </si>
  <si>
    <t>Энергетический Щит</t>
  </si>
  <si>
    <t>1/8</t>
  </si>
  <si>
    <t>КБ:+10  СП:СО:СЭ:+25(+25)</t>
  </si>
  <si>
    <t>КБ:6(+4)  СП:СО:СЭ:+12(+8)</t>
  </si>
  <si>
    <t>Ядовитые Пары</t>
  </si>
  <si>
    <t>Наносит всем врагам поблизости 5(+25) ПЭ</t>
  </si>
  <si>
    <t>Наносит всем врагам поблизости 2(+23) ПЭ</t>
  </si>
  <si>
    <t>Наносит цели 20(+50) ПЭ</t>
  </si>
  <si>
    <t>Наносит цели 25(+50) ПЭ</t>
  </si>
  <si>
    <t>Наносит целевому существу 6(+24) ПВ</t>
  </si>
  <si>
    <t>Наносит целевому существу 3(+37) ПВ</t>
  </si>
  <si>
    <t>Наносит целевому существу 50(+50) ПВ</t>
  </si>
  <si>
    <t>1/1</t>
  </si>
  <si>
    <t>Порыв Ветра</t>
  </si>
  <si>
    <t>Вызвать Ветра</t>
  </si>
  <si>
    <t>Тело из Воздуха</t>
  </si>
  <si>
    <t>Тело из Земли</t>
  </si>
  <si>
    <t>Тело из Огня</t>
  </si>
  <si>
    <t>Тело из Воды</t>
  </si>
  <si>
    <t>Невидимая Сила</t>
  </si>
  <si>
    <t>Ледяной Шквал</t>
  </si>
  <si>
    <t>Наносит врагам 2(+6) ПВ, 2(+6) УС каждую секунду</t>
  </si>
  <si>
    <t>Наносит цели 5(+35) ПВ</t>
  </si>
  <si>
    <t>Безволие</t>
  </si>
  <si>
    <t>Высосать Волю</t>
  </si>
  <si>
    <t>Расплывчатость</t>
  </si>
  <si>
    <t>Размыть Взгляд</t>
  </si>
  <si>
    <t>КБ:+60</t>
  </si>
  <si>
    <t>КБ:+30</t>
  </si>
  <si>
    <t>Фантазмовый Демон</t>
  </si>
  <si>
    <t>Иллюзия</t>
  </si>
  <si>
    <t>Невидимость</t>
  </si>
  <si>
    <t>6/10</t>
  </si>
  <si>
    <t>Вспышка</t>
  </si>
  <si>
    <t>Сопротивление Магии</t>
  </si>
  <si>
    <t>СМ:+50</t>
  </si>
  <si>
    <t>Щит Двеомера</t>
  </si>
  <si>
    <t>Создает Большого Демона</t>
  </si>
  <si>
    <t>Слабость</t>
  </si>
  <si>
    <t>Ослабляет врага  -  СЛ:-5  СП:-25(-25)</t>
  </si>
  <si>
    <t>Ослабляет врага  -  СЛ:-3(-2)  СП:-20(-15)</t>
  </si>
  <si>
    <t>Окаменелость</t>
  </si>
  <si>
    <t>Уменьшение</t>
  </si>
  <si>
    <t>В 2 раза снижает урон цели</t>
  </si>
  <si>
    <t>В 2 раза снижает урон и скорость цели,  Вызывает враждебную реакцию</t>
  </si>
  <si>
    <t>Полиморф</t>
  </si>
  <si>
    <t>Охранник Огр</t>
  </si>
  <si>
    <t>Огр Бандит</t>
  </si>
  <si>
    <t>Призывает Огра Бандита</t>
  </si>
  <si>
    <t>Призывает Огра Охранника</t>
  </si>
  <si>
    <t>Адские Врата</t>
  </si>
  <si>
    <t>Дух Хранитель</t>
  </si>
  <si>
    <t>Огр Уничтожитель</t>
  </si>
  <si>
    <t>Призывает Огра Уничтожителя</t>
  </si>
  <si>
    <t>Призывает Духа Хранителя</t>
  </si>
  <si>
    <t>Атака Кергана</t>
  </si>
  <si>
    <t>Все существа поблизости получают 15-50 ПВ,  Существа из воздуха получают дополнительные 30-50 ПВ</t>
  </si>
  <si>
    <t>Все существа поблизости получают 25-50 ПВ,  Существа из воздуха получают дополнительные 25-50 ПВ</t>
  </si>
  <si>
    <t>Смерть Кергана</t>
  </si>
  <si>
    <t>Лечение Кергана</t>
  </si>
  <si>
    <t>Восстанавливает 5 ЗД каждую секунду всем членам команды включая Кергана</t>
  </si>
  <si>
    <t>Восстанавливает 7 ЗД каждую секунду всем членам команды кроме Кергана</t>
  </si>
  <si>
    <t>Огненная Стена</t>
  </si>
  <si>
    <t>Создает мерцающий силовой барьер на определенном пустом квадрате</t>
  </si>
  <si>
    <t>Вдвое снижает Силу Воли указанного существа, если не был выброшен спас. бросок</t>
  </si>
  <si>
    <t>Создает вокруг заклинателя барьер непроницаемый для любой магии</t>
  </si>
  <si>
    <t>Создает вокруг цели барьер непроницаемый для любой магии</t>
  </si>
  <si>
    <t>Не позволяет указанному существу использовать магию</t>
  </si>
  <si>
    <t>Заставляет всех животных поблизости хорошо реагировать на игрока</t>
  </si>
  <si>
    <t>Корни растений запутывают ноги врага, лишая его возможности ходить</t>
  </si>
  <si>
    <t>Эти чары дают контроль над разумом животного, если им не был сделан спас. бросок</t>
  </si>
  <si>
    <t>Заклинание призывает зверя, который сразу нападает на врагов мага</t>
  </si>
  <si>
    <t>Позволяет говорить с духом трупа, на который оно использовано</t>
  </si>
  <si>
    <t>Заклинание вызывает монстра-нежить, который будет следовать за магом</t>
  </si>
  <si>
    <t>Оживляет труп, делая его рабом мага</t>
  </si>
  <si>
    <t>Временно ослепляет цель</t>
  </si>
  <si>
    <t>Временно ослепляет цель,  Нельзя наложить заклинание на себя</t>
  </si>
  <si>
    <t>Цель становится невидимой, кроме моментов атаки</t>
  </si>
  <si>
    <t>Трансформирует тело цели в воздух (СП:95, СЯ:95, СО:+7, СЭ:+5, Скорость:+10, ПВ:0)</t>
  </si>
  <si>
    <t>Наносит врагам ледяной урон с огромной скоростью (похоже на баг)</t>
  </si>
  <si>
    <t>Добавить Медицинский Набор в ассортимент городских универмагов и черного рынка</t>
  </si>
  <si>
    <t>Иллюминация</t>
  </si>
  <si>
    <t>ПВ:(+1)</t>
  </si>
  <si>
    <t>ПВ:(+3)</t>
  </si>
  <si>
    <t>Изменить цвет Заколдованной Робы чтобы она не была такой же как Мистическая Роба</t>
  </si>
  <si>
    <t>Элементаль Воздуха</t>
  </si>
  <si>
    <t>Вызывает Элементаля Воздуха, который появляется в целевом квадрате и нападает на врагов мага.</t>
  </si>
  <si>
    <t>Вызвать Элем. Воздуха</t>
  </si>
  <si>
    <t>Создает в целевом квадрате Элементаля Воздуха, который сразу нападает на врагов мага.</t>
  </si>
  <si>
    <t>Вызвать Элем. Земли</t>
  </si>
  <si>
    <t>Элементаль Земли</t>
  </si>
  <si>
    <t>Вызывает Элементаля Земли, который появляется в целевом квадрате и нападает на врагов мага.</t>
  </si>
  <si>
    <t>Создает в целевом квадрате Элементаля Земли, который сразу нападает на врагов мага.</t>
  </si>
  <si>
    <t>Вызвать Элем. Огня</t>
  </si>
  <si>
    <t>Элементаль Огня</t>
  </si>
  <si>
    <t>Вызывает Элементаля Огня, который появляется в целевом квадрате и нападает на врагов мага.</t>
  </si>
  <si>
    <t>Вызвать Элем. Воды</t>
  </si>
  <si>
    <t>Элементаль Воды</t>
  </si>
  <si>
    <t>Вызывает Элементаля Воды, который появляется в целевом квадрате и нападает на врагов мага.</t>
  </si>
  <si>
    <t>Создает в целевом квадрате Элементаля Воды, который сразу нападает на врагов мага.</t>
  </si>
  <si>
    <t>Торможение</t>
  </si>
  <si>
    <t>Ускорение</t>
  </si>
  <si>
    <t>Заморозить Время</t>
  </si>
  <si>
    <t>Темпус Фугит</t>
  </si>
  <si>
    <t>Ускоряет мага и всю его группу, при этом замедляя других существ в мире.</t>
  </si>
  <si>
    <t>Ускоряет мага и всю его группу, при этом замедляя других существ в мире. Может быть наложено лишь одно заклинание.</t>
  </si>
  <si>
    <t>Уменьшает отравление на 120 единиц</t>
  </si>
  <si>
    <t>Лекарство от Яда</t>
  </si>
  <si>
    <t>Чудо Средство</t>
  </si>
  <si>
    <t>Чудесное Исцеление</t>
  </si>
  <si>
    <t>Стазис</t>
  </si>
  <si>
    <t>Увеличить технологическую склонность Стимулятора к Гербологии с 70 до 75</t>
  </si>
  <si>
    <t>Парализует существо. Не работает на нежить.</t>
  </si>
  <si>
    <t>Вполовину уменьшает Скорость всех ближайших существ, которые не выполнили спас. бросок. Не работает на нежить.</t>
  </si>
  <si>
    <t>Эти чары удваивают Скорость указанного существа. Не работает на нежить.</t>
  </si>
  <si>
    <t>Эффект зелий, снижающих расход сил, не должен сниматься при их повторном приеме</t>
  </si>
  <si>
    <t>Стимулятор</t>
  </si>
  <si>
    <t>Транквилизатор</t>
  </si>
  <si>
    <t>Вызывает потерю сознания</t>
  </si>
  <si>
    <t>Галлюцинат</t>
  </si>
  <si>
    <t>Вызывает галлюцинации (временно)</t>
  </si>
  <si>
    <t>Лечить Все</t>
  </si>
  <si>
    <t>Лечит 100% Здоровья, Усталости и Яда. Излечивает Шрамы и Увечья.</t>
  </si>
  <si>
    <t>Лечит 100% Здоровья, 160 единиц Усталости и 100% Яда. Излечивает Шрамы и Увечья.</t>
  </si>
  <si>
    <t>Реаниматор</t>
  </si>
  <si>
    <t>Возвращает мертвеца к жизни</t>
  </si>
  <si>
    <t>Большое Зелье Энергии</t>
  </si>
  <si>
    <t>Слезы Морганы</t>
  </si>
  <si>
    <t>Лечит 120 единиц Здоровья, Энергии и Яда</t>
  </si>
  <si>
    <t>Лечит 80 единиц Здоровья</t>
  </si>
  <si>
    <t>Восстанавливает 70 единиц Энергии</t>
  </si>
  <si>
    <t>Малое Зелье Энергии</t>
  </si>
  <si>
    <t>Восстанавливает 30 единиц Энергии</t>
  </si>
  <si>
    <t>Восстанавливает 20 единиц Энергии</t>
  </si>
  <si>
    <t>Легкое Излечение Усталости</t>
  </si>
  <si>
    <t>Большое Излечение Усталости</t>
  </si>
  <si>
    <t>Лечить Яд</t>
  </si>
  <si>
    <t>Восстанавливает 20 единиц Здоровья</t>
  </si>
  <si>
    <t>Малое Излечение</t>
  </si>
  <si>
    <t>Малое Зелье Здоровья</t>
  </si>
  <si>
    <t>Большое Зелье Здоровья</t>
  </si>
  <si>
    <t>Зелье Лечения Яда</t>
  </si>
  <si>
    <t>Убрать Кольчугу Карликов из ассортимента Магических Кузнецов</t>
  </si>
  <si>
    <t>20(-8)</t>
  </si>
  <si>
    <t>Короткий Меч</t>
  </si>
  <si>
    <t>99</t>
  </si>
  <si>
    <t>Меч Хищника</t>
  </si>
  <si>
    <t>Кровавый Кинжал</t>
  </si>
  <si>
    <t>88</t>
  </si>
  <si>
    <t>Хороший Стальной Кинжал</t>
  </si>
  <si>
    <t>Здоровье:-5  Энергия:+10</t>
  </si>
  <si>
    <t>Добротный Меч</t>
  </si>
  <si>
    <t>705</t>
  </si>
  <si>
    <t>Элитный Меч Каладона</t>
  </si>
  <si>
    <t>205</t>
  </si>
  <si>
    <t>Гранатомет</t>
  </si>
  <si>
    <t>Рычажной Пулемет</t>
  </si>
  <si>
    <t>Требования</t>
  </si>
  <si>
    <t>СЛ 3</t>
  </si>
  <si>
    <t>СЛ 2</t>
  </si>
  <si>
    <t>СЛ 6</t>
  </si>
  <si>
    <t>СЛ 7</t>
  </si>
  <si>
    <t>СЛ 8</t>
  </si>
  <si>
    <t>СЛ 9</t>
  </si>
  <si>
    <t>СЛ 10</t>
  </si>
  <si>
    <t>СЛ 5</t>
  </si>
  <si>
    <t>СЛ 14</t>
  </si>
  <si>
    <t>СЛ 12</t>
  </si>
  <si>
    <t>СЛ 15</t>
  </si>
  <si>
    <t>СЛ 16</t>
  </si>
  <si>
    <t>СЛ 11</t>
  </si>
  <si>
    <t>СЛ 13</t>
  </si>
  <si>
    <t>СЛ 20</t>
  </si>
  <si>
    <t>СЛ 17</t>
  </si>
  <si>
    <t>СЛ 4</t>
  </si>
  <si>
    <t>СЛ 10, ИН 16</t>
  </si>
  <si>
    <t>СЛ 10, ВС 14</t>
  </si>
  <si>
    <t>СЛ 8, ВС 12</t>
  </si>
  <si>
    <t>СЛ 9, ИН 18</t>
  </si>
  <si>
    <t>СЛ 7, ИН 17</t>
  </si>
  <si>
    <t>СЛ 8, ИН 15</t>
  </si>
  <si>
    <t>СЛ 11, ИН 13</t>
  </si>
  <si>
    <t>СЛ 6, ИН 9</t>
  </si>
  <si>
    <t>СЛ 6, ИН 12</t>
  </si>
  <si>
    <t>1600</t>
  </si>
  <si>
    <t>1250</t>
  </si>
  <si>
    <t>СЛ 12, ИН 12</t>
  </si>
  <si>
    <t>2650</t>
  </si>
  <si>
    <t>СЛ 8, ИН 11</t>
  </si>
  <si>
    <t>СЛ 8, ИН 13</t>
  </si>
  <si>
    <t>Расходует топливо (1 за выстрел)</t>
  </si>
  <si>
    <t>Уменьшить технологическую склонность Пуль к Взрывчатке с 30 до 15</t>
  </si>
  <si>
    <t>Изменить технологическую склонность Телепортирующего Устройства со 100 к Взрывчатке на 100 к Электричеству (исправление схемы)</t>
  </si>
  <si>
    <t>Уменьшить технологическую склонность Батарей к Электричеству с 30 до 20</t>
  </si>
  <si>
    <t>Увеличить технологическую склонность Жезла Тесла к Электричеству до 90</t>
  </si>
  <si>
    <t>Уменьшить технологическую склонность Шокирующего Посоха к Электричеству до 70</t>
  </si>
  <si>
    <t>Увеличить технологическую склонность Малого Электрокомпонента к Электричеству с 30 до 35</t>
  </si>
  <si>
    <t>Увеличить технологическую склонность Большого Конденсатора к Электричеству с 40 до 60</t>
  </si>
  <si>
    <t>Уменьшить технологическую склонность Электрической Катушки к Электричеству с 55 до 45</t>
  </si>
  <si>
    <t>Увеличить технологическую склонность Катушки Тесла к Электричеству с 80 до 85</t>
  </si>
  <si>
    <t>Уменьшить количество Ослепляющих Гранат, получаемых при сборке по схеме, с 5 до 3</t>
  </si>
  <si>
    <t>Уменьшить количество Дымовых Гранат, получаемых при сборке по схеме, с 5 до 4</t>
  </si>
  <si>
    <t>Расходует батарею (1 за бросок)</t>
  </si>
  <si>
    <t>Уменьшить стоимость свитков магии с 50-750-1500-2250-3000 до 50-150-350-650-1050, а так же их веса с 10 до 2 стоун</t>
  </si>
  <si>
    <t>СЛ 9, ВС 12</t>
  </si>
  <si>
    <t>СЛ 9, ВС 16</t>
  </si>
  <si>
    <t>Меч Воздуха</t>
  </si>
  <si>
    <t>730</t>
  </si>
  <si>
    <t>100(-80)</t>
  </si>
  <si>
    <t>Меч Болезни</t>
  </si>
  <si>
    <t>СЛ 8, ИН 17</t>
  </si>
  <si>
    <t>Увеличить технологическую склонность Масла Большой Змеи к Гербологии с 15 до 50</t>
  </si>
  <si>
    <t>Настойка Внимания</t>
  </si>
  <si>
    <t>Метательный Кинжал</t>
  </si>
  <si>
    <t>Модные Женские Сапожки</t>
  </si>
  <si>
    <t>Реакция:+5</t>
  </si>
  <si>
    <t>Ношеные Женские Сапоги</t>
  </si>
  <si>
    <t>Ношеные Женские Сапожки</t>
  </si>
  <si>
    <t>Модные Женские Сапоги</t>
  </si>
  <si>
    <t>Реакция:+2</t>
  </si>
  <si>
    <t>Ношеные Ботинки</t>
  </si>
  <si>
    <t>Ботинки</t>
  </si>
  <si>
    <t>Ношеные Мужские Ботинки</t>
  </si>
  <si>
    <t>Модные Мужские Ботинки</t>
  </si>
  <si>
    <t>Хорошие Крепкие Ботинки</t>
  </si>
  <si>
    <t>Доработать биографию Дипломата (Цилиндр, Карманные часы, Ожерелье, Ботинки, Сапожки)</t>
  </si>
  <si>
    <t>Увеличить технологическую склонность Носителя Войны Дрока к Огнестрельному Оружию c 85 до 100</t>
  </si>
  <si>
    <t>СЛ 12, ИН 13</t>
  </si>
  <si>
    <t>20-50</t>
  </si>
  <si>
    <t>СЛ 10, ИН 19</t>
  </si>
  <si>
    <t>Бронебойность 20%, Повреждает броню</t>
  </si>
  <si>
    <t>Бронебойность 40%, Повреждает броню</t>
  </si>
  <si>
    <t>Бронеб. 20%, Крит +10%, Повреждает броню</t>
  </si>
  <si>
    <t>Бронеб. 30%, Крит +20%, Повреждает броню</t>
  </si>
  <si>
    <t>Изменить технологическую склонность Детонатора со 100 к Взрывчатке на 80 к Электричеству (исправление схемы)</t>
  </si>
  <si>
    <t>Увеличить технологическую склонность Военных Рукавиц Вендигрота к Кузнечеству с 10 до 75</t>
  </si>
  <si>
    <t>Уменьшить технологическую склонность Листового Металла к Кузнечеству с 40 до 35</t>
  </si>
  <si>
    <t>Увеличить технологическую склонность Рукавиц Карликов к Кузнечеству с 15 до 40</t>
  </si>
  <si>
    <t>Увеличить технологическую склонность Сверхлегкого Топора к Кузнечеству с 20 до 55</t>
  </si>
  <si>
    <t>Увеличить технологическую склонность Отравленного Топора к Кузнечеству с 25 до 60</t>
  </si>
  <si>
    <t>Увеличить технологическую склонность Пиротехнического Топора к Кузнечеству с 75 до 90</t>
  </si>
  <si>
    <t>Изменить технологическую склонность Заряженного Топора с 60 к Электричеству на 75 к Кузнечеству</t>
  </si>
  <si>
    <t>Скрипт ограничений на использование оружия должен выводить точное значение требуемой характеристики</t>
  </si>
  <si>
    <t>СЛ 8, ИН 16</t>
  </si>
  <si>
    <t>Самодел. Кремневый Пистолет</t>
  </si>
  <si>
    <t>145</t>
  </si>
  <si>
    <t>Звук</t>
  </si>
  <si>
    <t>Пулемет</t>
  </si>
  <si>
    <t>Глушитель</t>
  </si>
  <si>
    <t>Пистолет</t>
  </si>
  <si>
    <t>Плазма</t>
  </si>
  <si>
    <t>СЛ 16, ИН 14</t>
  </si>
  <si>
    <t>Не наносит урон существам</t>
  </si>
  <si>
    <t>1350</t>
  </si>
  <si>
    <t>1910</t>
  </si>
  <si>
    <t>3450</t>
  </si>
  <si>
    <t>1 + 1</t>
  </si>
  <si>
    <t>1775</t>
  </si>
  <si>
    <t>СЛ 10, ИН 11</t>
  </si>
  <si>
    <t>СЛ 10, ИН 10</t>
  </si>
  <si>
    <t>Крупный пистолет</t>
  </si>
  <si>
    <t>Винтовка Снайпера</t>
  </si>
  <si>
    <t>Крупный Пистолет</t>
  </si>
  <si>
    <t>Ружье Вендигрота</t>
  </si>
  <si>
    <t>Пистолет Вендигрота</t>
  </si>
  <si>
    <t>Крупное Ружье</t>
  </si>
  <si>
    <t>Большая Пушка</t>
  </si>
  <si>
    <t>Огромная Пушка</t>
  </si>
  <si>
    <t>Изменить технологическую склонность Гранатомета со 100 к Взрывчатке на 100 к Огнестрельному Оружию (исправление схемы)</t>
  </si>
  <si>
    <t>Увеличить технологическую склонность Гранаты Электрошока к Взрывчатке с 40 до 65</t>
  </si>
  <si>
    <t>Изменить технологическую склонность Пиротехнического Лука с 85 к Взрывчатке на 80 к Механике (исправление схемы)</t>
  </si>
  <si>
    <t>Добавить Стрелам технологическую склонность к Кузнечеству в 10 единиц (исправление схемы)</t>
  </si>
  <si>
    <t>Изменить технологическую склонность Огнемета с 80 к Взрывчатке на 85 к Огнестрельному Оружию (исправление схемы)</t>
  </si>
  <si>
    <t>Изменить технологическую склонность Пушки Тесла со 100 к Электричеству на 100 к Огнестрельному Оружию (исправление схемы)</t>
  </si>
  <si>
    <t>Бронебойность 30%, Повреждает броню</t>
  </si>
  <si>
    <t>17-23</t>
  </si>
  <si>
    <t>3600</t>
  </si>
  <si>
    <t>3700</t>
  </si>
  <si>
    <t>Изменить технологическую склонность Автозагрузочной Камеры с 85 к Огнестрельному Оружию на 80 к Механике</t>
  </si>
  <si>
    <t>Уменьшить размер картинки Автозагрузочной Камеры</t>
  </si>
  <si>
    <t>СЛ:(+2)</t>
  </si>
  <si>
    <t>Расходует батареи (1 за удар)</t>
  </si>
  <si>
    <t>Расходует батареи (2 за удар)</t>
  </si>
  <si>
    <t>Всплеск Энергии, Щит Двеомера, Расплывчатость</t>
  </si>
  <si>
    <t>Крит (+10%)</t>
  </si>
  <si>
    <t>Шанс оглушить +10%, Крит (+15%)</t>
  </si>
  <si>
    <t>Крит (+50%)</t>
  </si>
  <si>
    <t>Крит (+20%)</t>
  </si>
  <si>
    <t>Крит (+15%)</t>
  </si>
  <si>
    <t>Крит (+5%)</t>
  </si>
  <si>
    <t>Крит +10%</t>
  </si>
  <si>
    <t>Увеличить технологическую склонность Топора Мощи к Кузнечеству с 40 до 50</t>
  </si>
  <si>
    <t>Увеличить технологическую склонность Отмычек к Механике с 10 до 25</t>
  </si>
  <si>
    <t>Уменьшить технологическую склонность Грубых Отмычек к Механике с 20 до 10</t>
  </si>
  <si>
    <t>Увеличить технологическую склонность Взрывчатой Приманки к Механике с 70 до 90</t>
  </si>
  <si>
    <t>Увеличить технологическую склонность Механического Медика к Механике с 90 до 95</t>
  </si>
  <si>
    <t>Увеличить бонус к Взлому у Отмычек с 5% до 10%</t>
  </si>
  <si>
    <t>Увеличить бонус к Взлому у Подборного Ключа с 10% до 25%</t>
  </si>
  <si>
    <t>-95</t>
  </si>
  <si>
    <t>675</t>
  </si>
  <si>
    <t>-12</t>
  </si>
  <si>
    <t>Увеличить технологическую склонность Шлема Шахтера к Кузнечеству с 15 до 70</t>
  </si>
  <si>
    <t>Светит</t>
  </si>
  <si>
    <t>Расходует батареи</t>
  </si>
  <si>
    <t>Предмет</t>
  </si>
  <si>
    <t>Исправить изображение Шлема Видения на схеме</t>
  </si>
  <si>
    <t>Исправить изображение Сверхлегкой Кольчуги на схеме</t>
  </si>
  <si>
    <t>Уменьшить количество Шипованных Ловушек и Медвежьих Ловушек, получаемых при сборке по схеме, с 3 до 1</t>
  </si>
  <si>
    <t>Уменьшить количество Разрывных Гранат, Гранат Электрошока и  Барьеров Огня, получаемых при сборке по схеме, с 3 до 2</t>
  </si>
  <si>
    <t>Уменьшить количество Гранат Галлюцинаций и Нок-Аут Газа, получаемого при сборке по схеме, с 3 до 1</t>
  </si>
  <si>
    <t>Пули</t>
  </si>
  <si>
    <t>Мускулер</t>
  </si>
  <si>
    <t>Детонатор</t>
  </si>
  <si>
    <t>Активатор Ловушек</t>
  </si>
  <si>
    <t>Механический Манок</t>
  </si>
  <si>
    <t>Шумовой Манок</t>
  </si>
  <si>
    <t>Компонент 1</t>
  </si>
  <si>
    <t>Компонент 2</t>
  </si>
  <si>
    <t>Древесный Уголь</t>
  </si>
  <si>
    <t>Селитра</t>
  </si>
  <si>
    <t>Железная Руда</t>
  </si>
  <si>
    <t>Дымный Порох</t>
  </si>
  <si>
    <t>Батарея</t>
  </si>
  <si>
    <t>Электрическая Деталь</t>
  </si>
  <si>
    <t>Электрическая Катушка</t>
  </si>
  <si>
    <t>Металлическая Банка</t>
  </si>
  <si>
    <t>Малая Пружина</t>
  </si>
  <si>
    <t>Части Часов</t>
  </si>
  <si>
    <t>Металлическая Коробка</t>
  </si>
  <si>
    <t>Малый Электрокомпонент</t>
  </si>
  <si>
    <t>Конденсатор</t>
  </si>
  <si>
    <t>СЛ 11, ИН 10</t>
  </si>
  <si>
    <t>Уменьшить технологическую склонность Бромида к Химии с 35 до 10</t>
  </si>
  <si>
    <t>Увеличить технологическую склонность Очистителя Монро к Химии с 7 до 15</t>
  </si>
  <si>
    <t>Увеличить технологическую склонность Аква Вита Вархама к Химии с 10 до 35</t>
  </si>
  <si>
    <t>Увеличить технологическую склонность Химического Яда к Химии с 20 до 30</t>
  </si>
  <si>
    <t>Увеличить технологическую склонность Жидкого Мыла к Взрывчатке с 0 до 30</t>
  </si>
  <si>
    <t>5-16</t>
  </si>
  <si>
    <t>100(-75)</t>
  </si>
  <si>
    <t>Кинжал Ассасина</t>
  </si>
  <si>
    <t>Шанс оглушить +12%</t>
  </si>
  <si>
    <t>Расходует топливо (2 за удар)</t>
  </si>
  <si>
    <t>4-11</t>
  </si>
  <si>
    <t>4-7</t>
  </si>
  <si>
    <t>Тихо стреляет</t>
  </si>
  <si>
    <t>Взрыв</t>
  </si>
  <si>
    <t>Бросок</t>
  </si>
  <si>
    <t>Огонь</t>
  </si>
  <si>
    <t>Газ</t>
  </si>
  <si>
    <t>Коррозийная Кислота</t>
  </si>
  <si>
    <t>10-100</t>
  </si>
  <si>
    <t>Горение</t>
  </si>
  <si>
    <t>Убрать звук при рассеивании облака от газовых гранат</t>
  </si>
  <si>
    <t>Оглушение</t>
  </si>
  <si>
    <t>3/3</t>
  </si>
  <si>
    <t>Сотворение</t>
  </si>
  <si>
    <t>Поддержание</t>
  </si>
  <si>
    <t>Эти чары превращают существо в камень на 10 секунд</t>
  </si>
  <si>
    <t>Восстанавливает 2(+4) ЗД всем членам команды каждые 3 секунды</t>
  </si>
  <si>
    <t>Восстанавливает 1(+6) ЗД всем членам команды каждые 10 секунд</t>
  </si>
  <si>
    <t>Наносит целевому существу 60(+90) ПВ и 20(+30) УС</t>
  </si>
  <si>
    <t>Наносит целевому существу 100(+100) ПВ</t>
  </si>
  <si>
    <t>Ограничитель Усталости</t>
  </si>
  <si>
    <t>Снять Усталость</t>
  </si>
  <si>
    <t>Мандрагора</t>
  </si>
  <si>
    <t>Маковые Цветки</t>
  </si>
  <si>
    <t>Увеличить технологическую склонность Маковых Цветков к Гербологии с 20 до 40</t>
  </si>
  <si>
    <t>Увеличить технологическую склонность Мандрагоры к Гербологии с 10 до 60</t>
  </si>
  <si>
    <t>В деревне Туманные Холмы изменить цвет одежды охранников согласно тому, что на них одето</t>
  </si>
  <si>
    <t>Целебная Мазь</t>
  </si>
  <si>
    <t>Листья Кока</t>
  </si>
  <si>
    <t>Вино</t>
  </si>
  <si>
    <t>Аква Вита Вархама</t>
  </si>
  <si>
    <t>Хлористый Калий</t>
  </si>
  <si>
    <t>Пилюли Крови</t>
  </si>
  <si>
    <t>Лечение Мигрени</t>
  </si>
  <si>
    <t>Глицерин Дулитла</t>
  </si>
  <si>
    <t>Белладонна Лингама</t>
  </si>
  <si>
    <t>Жидкое Мыло</t>
  </si>
  <si>
    <t>Бромид</t>
  </si>
  <si>
    <t>Фосфорная Настойка Нимма</t>
  </si>
  <si>
    <t>Медальон</t>
  </si>
  <si>
    <t>Электро Принадлежности</t>
  </si>
  <si>
    <t>Мифриловое Кольцо</t>
  </si>
  <si>
    <t>Кожаные Ремни</t>
  </si>
  <si>
    <t>Сталь</t>
  </si>
  <si>
    <t>Остнастка Лодки</t>
  </si>
  <si>
    <t>Сильный Яд</t>
  </si>
  <si>
    <t>Химический Яд</t>
  </si>
  <si>
    <t>Барабан Револьвера</t>
  </si>
  <si>
    <t>Магний</t>
  </si>
  <si>
    <t>Чистая Руда</t>
  </si>
  <si>
    <t>Руда Карликов</t>
  </si>
  <si>
    <t>Стеариновая Кислота</t>
  </si>
  <si>
    <t>Большая Пружина</t>
  </si>
  <si>
    <t>Большой Конденсатор</t>
  </si>
  <si>
    <t>Биологический Яд</t>
  </si>
  <si>
    <t>Топливо</t>
  </si>
  <si>
    <t>Цилиндр</t>
  </si>
  <si>
    <t>Пересмотреть начальную одежду в зависимости от биографии (Хороший Костюм, Красивое Платье, Дорожный Плащ, Куртка, Роба)</t>
  </si>
  <si>
    <t>Скрытность:(+5)</t>
  </si>
  <si>
    <t>Скрытность:(+2)  Убийство:(+4)</t>
  </si>
  <si>
    <t>Переименовать навыки в диалогах (Уклонение, Убийство, Скрытность, Обнаружение, Стрельба и Взлом)</t>
  </si>
  <si>
    <t>Свиток магии Ядовитые Пары наносит урон герою и союзникам</t>
  </si>
  <si>
    <t>Свиток магии Кошмар работает не только на врагов, но и на союзников</t>
  </si>
  <si>
    <t>Свиток магии Регенерация не работает на союзников</t>
  </si>
  <si>
    <t>При ударе Клинком Прикосновения Вампира герой перестает атаковать</t>
  </si>
  <si>
    <t>Парализатор работал на нежить и механических существ</t>
  </si>
  <si>
    <t>Клинок Прикосновения Вампира не высасывает здоровье из Волков, зато высасывает из неживых объектов, таких как бочка =)</t>
  </si>
  <si>
    <t>Галлюцинат и Граната Галлюцинаций работали на нежить</t>
  </si>
  <si>
    <t>ВС:-1(-3)</t>
  </si>
  <si>
    <t>6(+12)</t>
  </si>
  <si>
    <t>6(+2)</t>
  </si>
  <si>
    <t>6(+4)</t>
  </si>
  <si>
    <t>6(+6)</t>
  </si>
  <si>
    <t>6(+8)</t>
  </si>
  <si>
    <t>Скорость Бега: +5  Нести вес: +400</t>
  </si>
  <si>
    <t>Скорость Бега: (+5)</t>
  </si>
  <si>
    <t>Воровство:(+2)</t>
  </si>
  <si>
    <t>ЛВ:(+2)</t>
  </si>
  <si>
    <t>Воровство:(+4)</t>
  </si>
  <si>
    <t>Магические Перчатки</t>
  </si>
  <si>
    <t>Мистические Перчатки</t>
  </si>
  <si>
    <t>1(+2)</t>
  </si>
  <si>
    <t>1(+4)</t>
  </si>
  <si>
    <t>1(+6)</t>
  </si>
  <si>
    <t>1(+8)</t>
  </si>
  <si>
    <t>Увеличить технологическую склонность Боевых Рукавиц Карликов к Кузнечеству с 20 до 45</t>
  </si>
  <si>
    <t>Увеличить технологическую склонность Военных Рукавиц к Кузнечеству с 10 до 50</t>
  </si>
  <si>
    <t>Сапоги</t>
  </si>
  <si>
    <t>Ношеные Сапоги</t>
  </si>
  <si>
    <t>Сапоги Эльфов</t>
  </si>
  <si>
    <t>-8</t>
  </si>
  <si>
    <t>325</t>
  </si>
  <si>
    <t>Реакция окружающих +15</t>
  </si>
  <si>
    <t>1275</t>
  </si>
  <si>
    <t>1875</t>
  </si>
  <si>
    <t>2875</t>
  </si>
  <si>
    <t>1980</t>
  </si>
  <si>
    <t>2980</t>
  </si>
  <si>
    <t>3(+24)</t>
  </si>
  <si>
    <t>3(+18)</t>
  </si>
  <si>
    <t>3(+12)</t>
  </si>
  <si>
    <t>3(+6)</t>
  </si>
  <si>
    <t>6(+10)</t>
  </si>
  <si>
    <t>6(+15)</t>
  </si>
  <si>
    <t>6(+20)</t>
  </si>
  <si>
    <t>30(-30)</t>
  </si>
  <si>
    <t>Местоположение схемы</t>
  </si>
  <si>
    <t>Каждый удар снижает ТС цели на 1 (временно)</t>
  </si>
  <si>
    <t>Звериный Аромат</t>
  </si>
  <si>
    <t>Парфюм «Утренняя Звезда»</t>
  </si>
  <si>
    <t>Очиститель Монро</t>
  </si>
  <si>
    <t>Дисциплина «Химия», уровень 3</t>
  </si>
  <si>
    <t>Дисциплина «Химия», уровень 1</t>
  </si>
  <si>
    <t>Дисциплина «Электрика», уровень 5</t>
  </si>
  <si>
    <t>Дисциплина «Электрика», уровень 4</t>
  </si>
  <si>
    <t>Шапо Магнитной Инверсии</t>
  </si>
  <si>
    <t>Глушитель Мотора</t>
  </si>
  <si>
    <t>Дисциплина «Оружие», уровень 4</t>
  </si>
  <si>
    <t>Дисциплина «Оружие», уровень 3</t>
  </si>
  <si>
    <t>Листовой Металл</t>
  </si>
  <si>
    <t>Дубовая Рукоять</t>
  </si>
  <si>
    <t>Дисциплина «Кузнечество», уровень 4</t>
  </si>
  <si>
    <t>Дисциплина «Кузнечество», уровень 3</t>
  </si>
  <si>
    <t>Бывает в продаже у Изобретателя</t>
  </si>
  <si>
    <t>Бывает в продаже у Гербалиста</t>
  </si>
  <si>
    <t>Дубовая Рукоять Топора</t>
  </si>
  <si>
    <t>6-13</t>
  </si>
  <si>
    <t>Бывает в продаже у Кузнеца</t>
  </si>
  <si>
    <t>Изменить технологическую склонность Заряженного Меча с 45 к Электричеству на 40 к Кузнечеству (исправление схемы)</t>
  </si>
  <si>
    <t>Спектрометр Потока</t>
  </si>
  <si>
    <t>780</t>
  </si>
  <si>
    <t>Бонус Брони = Злое Мировоззрение / 10</t>
  </si>
  <si>
    <t>Указывает как все невидимые существа и объекты, так и все ловушки вокруг. Дает +20 к навыку Обнаружения.</t>
  </si>
  <si>
    <t>Указывает как все невидимые существа и объекты, так и все ловушки вокруг.</t>
  </si>
  <si>
    <t>Увеличить бонус Перевязок к Лечению с 0% до 10%, а стоимость уменьшить с 20 до 15 монет</t>
  </si>
  <si>
    <t>Увеличить бонус Медицинского Набора к Лечению с 0% до 30%, а так же уменьшить стоимость с 200 до 100 монет и вес с 90 до 70 стоун</t>
  </si>
  <si>
    <t>2200</t>
  </si>
  <si>
    <t>Наносит урон всем, Длится 9 сек.</t>
  </si>
  <si>
    <t>Наносит урон всем, Длится 10 сек.</t>
  </si>
  <si>
    <t>Катушка Тесла</t>
  </si>
  <si>
    <t>Бонус к навыкам Воровства и Взлома +25% (временно)</t>
  </si>
  <si>
    <t>50(-50)</t>
  </si>
  <si>
    <t>60(-25)</t>
  </si>
  <si>
    <t>Кричащая Сабля</t>
  </si>
  <si>
    <t>Кричащий Щит</t>
  </si>
  <si>
    <t>30(+10)</t>
  </si>
  <si>
    <t xml:space="preserve">  6(+2)</t>
  </si>
  <si>
    <t xml:space="preserve">  6(+4)</t>
  </si>
  <si>
    <t xml:space="preserve">  6(+6)</t>
  </si>
  <si>
    <t xml:space="preserve">  6(+8)</t>
  </si>
  <si>
    <t xml:space="preserve">  9(+6)</t>
  </si>
  <si>
    <t xml:space="preserve">  9(+8)</t>
  </si>
  <si>
    <t xml:space="preserve">  9(+4)</t>
  </si>
  <si>
    <t xml:space="preserve">  9(+2)</t>
  </si>
  <si>
    <t>+10</t>
  </si>
  <si>
    <t>+5</t>
  </si>
  <si>
    <t>Заколдованный Плащ</t>
  </si>
  <si>
    <t>Заколдованное Платье</t>
  </si>
  <si>
    <t>Бонус Брони = Злое Мировоззрение / 5</t>
  </si>
  <si>
    <t>999</t>
  </si>
  <si>
    <t>Добавить наземный арт для Малого Парового Движка, а так же уменьшить размер наземного арта обычного Парового Двигателя</t>
  </si>
  <si>
    <t>Добавить квестовому обручальному кольцу Метью Джеймсона в канализации Таранта соответствующее название</t>
  </si>
  <si>
    <t>Панацея</t>
  </si>
  <si>
    <t>Активизатор</t>
  </si>
  <si>
    <t>Нормально назвать Эшен Робс (Роба Пепла)</t>
  </si>
  <si>
    <t>На экране редактирования персонажа заменить надпись E&amp;G шкалы мировоззрения на ЗиД (Зло и Добро)</t>
  </si>
  <si>
    <t>Сделать так, чтобы каждая дополнительная порция алкоголя давала только негативные эффекты</t>
  </si>
  <si>
    <t>Добавить новую картинку к уже имеющимся экранам загрузки</t>
  </si>
  <si>
    <t>Улучшить изображение панельки со шкалой опыта</t>
  </si>
  <si>
    <t>Электро-Рукавицы</t>
  </si>
  <si>
    <t>Кривая Сабля</t>
  </si>
  <si>
    <t>СП:+20, Снижает расход сил, По окончанию действия отнимает 20 ЗД и ЭН</t>
  </si>
  <si>
    <t>ЗД:+25 ЭН:+25 (временно)</t>
  </si>
  <si>
    <t>СП:+30, Снижает расход сил, По окончанию действия отнимает 20-40 ЗД и 30-60 ЭН</t>
  </si>
  <si>
    <t>ЭН:(+40%)</t>
  </si>
  <si>
    <t>Изменить цвет иконок дисциплины Гербологии с фиолетового на зеленый</t>
  </si>
  <si>
    <t>Добавить газету с сообщениями об опытах Николы Тесла в местечке Колорадо-Спрингс</t>
  </si>
  <si>
    <t>Улучшить тексты статей в газетах, а так же укоротить слишком длинные заголовки некоторых из них</t>
  </si>
  <si>
    <t>Добавить Огру Бандиту 5% шанс наличия Молота</t>
  </si>
  <si>
    <t>ЛВ:+2, СЭ:+6</t>
  </si>
  <si>
    <t>Изменить цвет Вендигротского Листового Металла со стального на зеленоватый</t>
  </si>
  <si>
    <t>Вивифатор</t>
  </si>
  <si>
    <t>Строитель Мозга</t>
  </si>
  <si>
    <t>ИН:СВ:ВС:ОБ: +2 (временно)</t>
  </si>
  <si>
    <t>СЛ:ТС:ЛВ:КР: +2 (временно)</t>
  </si>
  <si>
    <t>Лечит 60 единиц Здоровья и Энергии</t>
  </si>
  <si>
    <t>Лечит 80 единиц Здоровья и Энергии</t>
  </si>
  <si>
    <t>Лечит 100 единиц Здоровья и Энергии</t>
  </si>
  <si>
    <t>Увеличить технологическую склонность Мускулера к Терапевтике с 83 до 95</t>
  </si>
  <si>
    <t>Увеличить технологическую склонность Строителя Мозга к Терапевтике с 83 до 90</t>
  </si>
  <si>
    <t>Все характеристики +1  (эффект)</t>
  </si>
  <si>
    <t>Все характеристики +1  (бонус)</t>
  </si>
  <si>
    <t>Предотвращает нападение зверей (временно)</t>
  </si>
  <si>
    <t>Лечит 100 единиц ЗД и ЭН, СП:+20, Снижает расход сил (временно). В конце отнимает 20 ЗД и ЭН.</t>
  </si>
  <si>
    <t>Удобрение Тома</t>
  </si>
  <si>
    <t>Вода</t>
  </si>
  <si>
    <t>Абсент</t>
  </si>
  <si>
    <t>Механизированный Арахнид</t>
  </si>
  <si>
    <t>Медицинский Арахнид</t>
  </si>
  <si>
    <t>Ядовитый Арахнид</t>
  </si>
  <si>
    <t>Заряженный Автоматон</t>
  </si>
  <si>
    <t>Автоматон</t>
  </si>
  <si>
    <t>5500</t>
  </si>
  <si>
    <t>Паровой Двигатель</t>
  </si>
  <si>
    <t>Малый Паровой Движок</t>
  </si>
  <si>
    <t>Механический Медик</t>
  </si>
  <si>
    <t>Взрывчатая Приманка</t>
  </si>
  <si>
    <t>Приманка Иллюминации</t>
  </si>
  <si>
    <t>Шумовая Приманка</t>
  </si>
  <si>
    <t>Механическая Приманка</t>
  </si>
  <si>
    <t>Вендигротский Листовой Металл</t>
  </si>
  <si>
    <t>225</t>
  </si>
  <si>
    <t>Прыгающий Капкан</t>
  </si>
  <si>
    <t>Части Карманных Часов</t>
  </si>
  <si>
    <t>Древняя Рама Оружия</t>
  </si>
  <si>
    <t>Рама Оружия</t>
  </si>
  <si>
    <t>Сталь Карликов</t>
  </si>
  <si>
    <t>33</t>
  </si>
  <si>
    <t>Зажим из Металла</t>
  </si>
  <si>
    <t>Автозагрузочная Камера</t>
  </si>
  <si>
    <t>Части Револьвера</t>
  </si>
  <si>
    <t>Металлические Стружки</t>
  </si>
  <si>
    <t>Очки</t>
  </si>
  <si>
    <t>Батареи</t>
  </si>
  <si>
    <t>Термометр</t>
  </si>
  <si>
    <t>Масло Большой Змеи</t>
  </si>
  <si>
    <t>Хинин</t>
  </si>
  <si>
    <t>Нервные Пилюли</t>
  </si>
  <si>
    <t>Лечение Ревматизма</t>
  </si>
  <si>
    <t>Настойка Арника</t>
  </si>
  <si>
    <t>Вытяжка Камфоры</t>
  </si>
  <si>
    <t>6000</t>
  </si>
  <si>
    <t>ТШ</t>
  </si>
  <si>
    <t>2440</t>
  </si>
  <si>
    <t>Контроль Зверя</t>
  </si>
  <si>
    <t>Превращает тело цели в камень (СП:50, СЯ:90, СО:+11, СЛ:+10, Скорость:-5)</t>
  </si>
  <si>
    <t>Переводит цель в жидкое состояние (СП:95, СЭ:90, СЯ:+10, ПВ:0, Скорость:-5)</t>
  </si>
  <si>
    <t>Переводит цель в жидкое состояние (СП:75, СЭ:90, СО:+20, СЯ:+15, Скорость:-5)</t>
  </si>
  <si>
    <t>Превращает тело цели в камень (СП:60, СЯ:85, СЭ:+30, СЛ:+9, ЛВ:-3)</t>
  </si>
  <si>
    <t>Трансформирует тело цели в воздух (СП:95, СЯ:90, СО:+10, СЭ:+10, ЛВ:+8)</t>
  </si>
  <si>
    <t>Меч Маннокса</t>
  </si>
  <si>
    <t>360</t>
  </si>
  <si>
    <t>Крит (+6%), Призвать Дух</t>
  </si>
  <si>
    <t>45(-30)</t>
  </si>
  <si>
    <t>(-30)</t>
  </si>
  <si>
    <t>30(-20)</t>
  </si>
  <si>
    <t>45(-20)</t>
  </si>
  <si>
    <t>10(-20)</t>
  </si>
  <si>
    <t>5-7</t>
  </si>
  <si>
    <t>Увеличить урон Взрывающейся Приманки с 5-35 ПВ до 30-60 ПВ, 10-20 ПО, а так же сделать взрыв как у гранаты</t>
  </si>
  <si>
    <t>Увеличить урон Шипованной Ловушки с 15-25 ПВ до 20-30 ПВ</t>
  </si>
  <si>
    <t>Увеличить урон Медвежьей Ловушки с 5-10 ПВ до 60-90 ПВ, и стоимость с 5 до 150 монет</t>
  </si>
  <si>
    <t>На экране редактирования персонажа заменить сокращение характеристики СВ (Сила Воли) на ВЛ (Воля)</t>
  </si>
  <si>
    <t>Двум охранникам в Клане Колеса одеть Броню Карликов, Военные Сапоги, Шлем Видения, Боевые Рукавицы Карликов, Заряженные Кольца и Механический Молот</t>
  </si>
  <si>
    <t>Первым четырем королевским охранникам в Клане Колеса одеть Шлем «Свинячье Рыльце»</t>
  </si>
  <si>
    <t>Увеличить уровень Лугаира Громовика с 35 до 45 и сделать его Экспертом в Рукопашной, Уклонении и Убеждении</t>
  </si>
  <si>
    <t>Увеличить уровень Рэндвера Громовика с 20 до 35 и сделать его Экспертом в Рукопашной и Уклонении, а так же Учеником в Убеждении</t>
  </si>
  <si>
    <t>Рэндверу Громовику одеть Кольчугу Карликов и Хорошие Крепкие Ботинки</t>
  </si>
  <si>
    <t>ПВ:+7,  СЛ:+1  ТС:+1  ЛВ:+1</t>
  </si>
  <si>
    <t>Положить схему Пуль в дальней бочке в пещере на месте крушения, а так же заменить в ней Древесный уголь на Дымный порох и Гранату на два Коктейля Молотова</t>
  </si>
  <si>
    <t>Исправить изображение Носителя Войны Дрока на схеме</t>
  </si>
  <si>
    <t>Кожаная Броня Убийцы</t>
  </si>
  <si>
    <t>Большая Кожаная Броня Убийцы</t>
  </si>
  <si>
    <t>Кожа Дракона</t>
  </si>
  <si>
    <t>1550</t>
  </si>
  <si>
    <t>150(-40)</t>
  </si>
  <si>
    <t>170(-40)</t>
  </si>
  <si>
    <t>140(-40)</t>
  </si>
  <si>
    <t>6(+60)</t>
  </si>
  <si>
    <t>5(+60)</t>
  </si>
  <si>
    <t>230</t>
  </si>
  <si>
    <t>Дальнобойная Винтовка</t>
  </si>
  <si>
    <t>Поменять местами изображения Посоха Некроманта и Посоха Бушующего Пламени</t>
  </si>
  <si>
    <t>Перенести всю лёгкую броню из магазина Магического Кузнеца в ассортимент Торговца Магическими Предметами, а тяжёлую наоборот</t>
  </si>
  <si>
    <t>Посох Пламени</t>
  </si>
  <si>
    <t>Скорость Бега: +4</t>
  </si>
  <si>
    <t>СМ:+30(+20)</t>
  </si>
  <si>
    <t>Поменять местами изображения Корня Гинка и Стебля Кадура</t>
  </si>
  <si>
    <t>Атака Ядовитого Арахнида должна временно снижать Телосложение цели (аналогично Отравленному Топору)</t>
  </si>
  <si>
    <t>55-70</t>
  </si>
  <si>
    <t>Громко стреляет</t>
  </si>
  <si>
    <t>16-32</t>
  </si>
  <si>
    <t>Крит (+2%), Энергия:+8</t>
  </si>
  <si>
    <t>Крит (+4%), Энергия:+12</t>
  </si>
  <si>
    <t>Крит (+6%), Энергия:+16</t>
  </si>
  <si>
    <t>Крит (+8%), Энергия:+20</t>
  </si>
  <si>
    <t>4650</t>
  </si>
  <si>
    <t>Медленный Меч</t>
  </si>
  <si>
    <t>Меч Дериан-Ка</t>
  </si>
  <si>
    <t>40(-30)</t>
  </si>
  <si>
    <t>В каладоне в сундуке одного из домов лежит Амулет Великой Тетушки Эстер, у которого описание как у Темного Шлема</t>
  </si>
  <si>
    <t>Медальон Обаяния</t>
  </si>
  <si>
    <t>СМ:(+10), Очарование (невозможно использовать)</t>
  </si>
  <si>
    <t>СМ:(+10), Очарование (можно использовать из ячейки быстрого доступа)</t>
  </si>
  <si>
    <t>Молния (невозможно использовать)</t>
  </si>
  <si>
    <t>Кошмар (можно использовать из ячейки быстрого доступа)</t>
  </si>
  <si>
    <t>Кольцо Торговца</t>
  </si>
  <si>
    <t>СМ:+10, Очарование и Подчинение (невозможно использовать)</t>
  </si>
  <si>
    <t>Увеличить количество использований заклинания Благословенного Лука с 2 до 5</t>
  </si>
  <si>
    <t>СМ:(+10), Чистота Воды (можно использовать из ячейки быстрого доступа)</t>
  </si>
  <si>
    <t>Некромайзер</t>
  </si>
  <si>
    <t>Умственный Ингибитор</t>
  </si>
  <si>
    <t>Серные Пилюли</t>
  </si>
  <si>
    <t>Увеличить технологическую склонность Удобрения Тома к Взрывчатке с 23 до 30</t>
  </si>
  <si>
    <t>Увеличить технологическую склонность Стеариновой Кислоты к Взрывчатке с 38 до 50</t>
  </si>
  <si>
    <t>Увеличить технологическую склонность Селитры к Взрывчатке с 5 до 60</t>
  </si>
  <si>
    <t>Увеличить технологическую склонность Снайперской Винтовки к Огнестрельному Оружию с 52 до 55</t>
  </si>
  <si>
    <t>Увеличить технологическую склонность Частей Карманных Часов к Механике с 35 до 45</t>
  </si>
  <si>
    <t>Увеличить технологическую склонность Руды Карликов к Кузнечеству с 25 до 45</t>
  </si>
  <si>
    <t>Увеличить технологическую склонность Шлема Свинячье Рыльце к Кузнечеству до 55</t>
  </si>
  <si>
    <t>Увеличить технологическую склонность Умственного Ингибитора к Химии с 74 до 90</t>
  </si>
  <si>
    <t>Создает послушного замби из трупа (временно)</t>
  </si>
  <si>
    <t>Уменьшить технологическую склонность Частей Часов к Механике с 80 до 75</t>
  </si>
  <si>
    <t>Граната</t>
  </si>
  <si>
    <t>75-150</t>
  </si>
  <si>
    <t>100-150</t>
  </si>
  <si>
    <t>50-75</t>
  </si>
  <si>
    <t>35-75</t>
  </si>
  <si>
    <t>Радиус</t>
  </si>
  <si>
    <t>Кислота</t>
  </si>
  <si>
    <t>30-75</t>
  </si>
  <si>
    <t>Усыпляющий Газ</t>
  </si>
  <si>
    <t>Горчичный Газ</t>
  </si>
  <si>
    <t>СЛ 9(+3)</t>
  </si>
  <si>
    <t>777</t>
  </si>
  <si>
    <t>90(+30)</t>
  </si>
  <si>
    <t>80(-20)</t>
  </si>
  <si>
    <t>Каменная Стена</t>
  </si>
  <si>
    <t>Эти чары создают каменный блок на указанном пустом квадрате.</t>
  </si>
  <si>
    <t>Наносят врагам 3(+12) ПЯ, 1(+4) УС каждую секунду.</t>
  </si>
  <si>
    <t>Наносят врагам 15(+35) ПЯ, 1(+7) УС каждые 10 секунд.</t>
  </si>
  <si>
    <t>Определяет направленность всех существ вокруг колдующего.</t>
  </si>
  <si>
    <t>Отталкивает целевое существо и на 15 секунд снижает его скорость на 5 единиц.</t>
  </si>
  <si>
    <t>Отталкивает целевое существо.</t>
  </si>
  <si>
    <t>Пройти Сквозь Стену</t>
  </si>
  <si>
    <t>Уменьшить технологическую склонность Электро-Брони к Электричеству со 100 до 90</t>
  </si>
  <si>
    <t>Тарант, останки человека в канализации</t>
  </si>
  <si>
    <t>Тарант, логово Робина Вуда в канализации</t>
  </si>
  <si>
    <t>Изменить технологическую склонность Сбалансированного Бумеранга с 5 к Механике на 30 к Кузнечеству</t>
  </si>
  <si>
    <t>Изменить технологическую склонность Заряженного Бумеранга с 50 к Механике на 40 к Кузнечеству (исправление схемы)</t>
  </si>
  <si>
    <t>Тарант, сундук в доме Тадеуса Майнора</t>
  </si>
  <si>
    <t>Тарант, сундук на складе Саймона Плуга</t>
  </si>
  <si>
    <t>Тарант, склад с Арахнидами возле Фабрики Бейтса</t>
  </si>
  <si>
    <t>Многоствольный Пистолет</t>
  </si>
  <si>
    <t>25(-25)</t>
  </si>
  <si>
    <t>Добавить расход Батарей при использовании Детонатора, а так же особый электрический звук</t>
  </si>
  <si>
    <t>Винтовка + Электро</t>
  </si>
  <si>
    <t>Завоеватель Дрока</t>
  </si>
  <si>
    <t>Ускорительный Пистолет</t>
  </si>
  <si>
    <t>Револьвер + Гаусс</t>
  </si>
  <si>
    <t>Наносит урон всем, Сбивает с ног</t>
  </si>
  <si>
    <t>Эти чары меняют свойства указанного участка стены, что позволяет безпрепятственно проходить сквозь неё.</t>
  </si>
  <si>
    <t>Гранатомет + Граната</t>
  </si>
  <si>
    <t>1-4(+2)</t>
  </si>
  <si>
    <t>1-2(+2)</t>
  </si>
  <si>
    <t>1-2(+1)</t>
  </si>
  <si>
    <t>1-2(+4)</t>
  </si>
  <si>
    <t>3-6(+1)</t>
  </si>
  <si>
    <t>3-6(+2)</t>
  </si>
  <si>
    <t>3-6(+3)</t>
  </si>
  <si>
    <t>3-6(+4)</t>
  </si>
  <si>
    <t>1-4(+3)</t>
  </si>
  <si>
    <t>4-13(+12)</t>
  </si>
  <si>
    <t>1-10(+8)</t>
  </si>
  <si>
    <t>4-13(+9)</t>
  </si>
  <si>
    <t>1-10(+2)</t>
  </si>
  <si>
    <t>4-13(+3)</t>
  </si>
  <si>
    <t>1-10(+4)</t>
  </si>
  <si>
    <t>4-13(+6)</t>
  </si>
  <si>
    <t>1-10(+6)</t>
  </si>
  <si>
    <t>1-10(+5)</t>
  </si>
  <si>
    <t>2-10(+5)</t>
  </si>
  <si>
    <t>1-10(+7)</t>
  </si>
  <si>
    <t>2-10(+10)</t>
  </si>
  <si>
    <t>2-10(+15)</t>
  </si>
  <si>
    <t>2-10(+20)</t>
  </si>
  <si>
    <t>1-10(+20)</t>
  </si>
  <si>
    <t>3-12(+24)</t>
  </si>
  <si>
    <t>1-4(+6)</t>
  </si>
  <si>
    <t>1-4(+9)</t>
  </si>
  <si>
    <t>1-8(+4)</t>
  </si>
  <si>
    <t>3-9(+4)</t>
  </si>
  <si>
    <t>2-8(+4)</t>
  </si>
  <si>
    <t>1-8(+8)</t>
  </si>
  <si>
    <t>2-8(+8)</t>
  </si>
  <si>
    <t>1-8(+12)</t>
  </si>
  <si>
    <t>2-8(+12)</t>
  </si>
  <si>
    <t>1-8(+16)</t>
  </si>
  <si>
    <t>2-8(+16)</t>
  </si>
  <si>
    <t>1-6(+2)</t>
  </si>
  <si>
    <t>1-6(+4)</t>
  </si>
  <si>
    <t>1-4(+4)</t>
  </si>
  <si>
    <t>1-6(+6)</t>
  </si>
  <si>
    <t>1-4(+8)</t>
  </si>
  <si>
    <t>1-6(+8)</t>
  </si>
  <si>
    <t>0-0(+10)</t>
  </si>
  <si>
    <t>5-15(+30)</t>
  </si>
  <si>
    <t>3-10(+20)</t>
  </si>
  <si>
    <t>0-0(+15)</t>
  </si>
  <si>
    <t>4-16(+4)</t>
  </si>
  <si>
    <t>3-11(+4)</t>
  </si>
  <si>
    <t>9-21(+3)</t>
  </si>
  <si>
    <t>6-16(+3)</t>
  </si>
  <si>
    <t>4-16(+8)</t>
  </si>
  <si>
    <t>3-11(+8)</t>
  </si>
  <si>
    <t>9-21(+6)</t>
  </si>
  <si>
    <t>6-16(+6)</t>
  </si>
  <si>
    <t>4-16(+12)</t>
  </si>
  <si>
    <t>3-11(+12)</t>
  </si>
  <si>
    <t>9-21(+9)</t>
  </si>
  <si>
    <t>6-16(+9)</t>
  </si>
  <si>
    <t>4-16(+16)</t>
  </si>
  <si>
    <t>3-11(+16)</t>
  </si>
  <si>
    <t>9-21(+12)</t>
  </si>
  <si>
    <t>6-16(+12)</t>
  </si>
  <si>
    <t>1-12(+5)</t>
  </si>
  <si>
    <t>1-12(+10)</t>
  </si>
  <si>
    <t>1-13(+15)</t>
  </si>
  <si>
    <t>3-14(+20)</t>
  </si>
  <si>
    <t>4-12(+3)</t>
  </si>
  <si>
    <t>4-12(+6)</t>
  </si>
  <si>
    <t>4-12(+9)</t>
  </si>
  <si>
    <t>4-12(+12)</t>
  </si>
  <si>
    <t>3-9(+1)</t>
  </si>
  <si>
    <t>3-9(+2)</t>
  </si>
  <si>
    <t>3-9(+3)</t>
  </si>
  <si>
    <t>1-9(+1)</t>
  </si>
  <si>
    <t>1-9(+3)</t>
  </si>
  <si>
    <t>1-9(+6)</t>
  </si>
  <si>
    <t>2-10(+9)</t>
  </si>
  <si>
    <t>0-0(+8)</t>
  </si>
  <si>
    <t>0-0(+6)</t>
  </si>
  <si>
    <t>1-5(+4)</t>
  </si>
  <si>
    <t>3-7(+4)</t>
  </si>
  <si>
    <t>2-9(+4)</t>
  </si>
  <si>
    <t>1-9(+2)</t>
  </si>
  <si>
    <t>1-12(+8)</t>
  </si>
  <si>
    <t>3-12(+12)</t>
  </si>
  <si>
    <t>3-9(+16)</t>
  </si>
  <si>
    <t>1-9(+12)</t>
  </si>
  <si>
    <t>2-5(+8)</t>
  </si>
  <si>
    <t>3-7(+2)</t>
  </si>
  <si>
    <t>3-9(+6)</t>
  </si>
  <si>
    <t>3-7(+6)</t>
  </si>
  <si>
    <t>3-9(+8)</t>
  </si>
  <si>
    <t>3-7(+8)</t>
  </si>
  <si>
    <t>3-12(+18)</t>
  </si>
  <si>
    <t>3-12(+6)</t>
  </si>
  <si>
    <t>6-10</t>
  </si>
  <si>
    <t>50-70</t>
  </si>
  <si>
    <t>16(+4)</t>
  </si>
  <si>
    <t>10(+2)</t>
  </si>
  <si>
    <t>8(+5)</t>
  </si>
  <si>
    <t>7(+1)</t>
  </si>
  <si>
    <t>Крит (+2%)</t>
  </si>
  <si>
    <t>7(+2)</t>
  </si>
  <si>
    <t>7(+3)</t>
  </si>
  <si>
    <t>Крит (+4%)</t>
  </si>
  <si>
    <t>Крит (+6%)</t>
  </si>
  <si>
    <t>Крит (+8%)</t>
  </si>
  <si>
    <t>5(+8)</t>
  </si>
  <si>
    <t>12(-6)</t>
  </si>
  <si>
    <t>13(-6)</t>
  </si>
  <si>
    <t>Крит (+40%)</t>
  </si>
  <si>
    <t>Электрическая Пушка</t>
  </si>
  <si>
    <t>35-55</t>
  </si>
  <si>
    <t>Добавить Добротной Палице технологическую склонность к Кузнечеству в 30 единиц</t>
  </si>
  <si>
    <t>235</t>
  </si>
  <si>
    <t>Уменьшить веса всех книг с 30 до 10 стоун</t>
  </si>
  <si>
    <t>Добавить нормальное название для Послания Иоахима, Завещания Крака-Тура, Дневника Кергана, Дневника Торвальда и схемы Очков Клана Колеса</t>
  </si>
  <si>
    <t>Изменить наземное изображение руководств по технологическим дисциплинам с красной книги на синюю</t>
  </si>
  <si>
    <t>Уменьшить веса всех газет с 20 до 5 стоун</t>
  </si>
  <si>
    <t>Лавовый Камень</t>
  </si>
  <si>
    <t>Механический Фонарь</t>
  </si>
  <si>
    <t>Уменьшить силу электроудара при уничтожении Механического Фонаря с 5-30 до 5-15, а дальность поражения с 3 до 2 клеток</t>
  </si>
  <si>
    <t>Увеличить технологическую склонность Отравленного Меча к Кузнечеству с 30 до 40</t>
  </si>
  <si>
    <t>Изменить технологическую склонность Металлической Коробки с 20 к Механике на 30 к Кузнечеству</t>
  </si>
  <si>
    <t>Дисциплина «Механика», уровень 6</t>
  </si>
  <si>
    <t>Добавить Механической Приманке и Взрывающейся Приманке звук как у Шумовой Приманки</t>
  </si>
  <si>
    <t>Добавить задержку в 5 секунд перед срабатыванием Шумовой Приманки</t>
  </si>
  <si>
    <t>Повреждает амуницию</t>
  </si>
  <si>
    <t>СЛ 9, ИН 15</t>
  </si>
  <si>
    <t>Увеличить технологическую склонность Электрической Пушки к Огнестрельному Оружию до 65</t>
  </si>
  <si>
    <t>Уменьшить технологическую склонность Ускорительного Пистолета к Огнестрельному Оружию до 70</t>
  </si>
  <si>
    <t>Уменьшить технологическую склонность Пиротехнической Винтовки к Огнестрельному Оружию до 70</t>
  </si>
  <si>
    <t>Увеличить технологическую склонность Кислотной Пушки к Огнестрельному Оружию с 48 до 70</t>
  </si>
  <si>
    <t>7-14</t>
  </si>
  <si>
    <t>Сабля Ослабления</t>
  </si>
  <si>
    <t>Винтовка + Кислота</t>
  </si>
  <si>
    <t>ЛВ:+2  ТС:+2, СЭ:+6</t>
  </si>
  <si>
    <t>Добавить в ассортимент Карликов и Кузнецов в городах Инструменты, дающие Бонус к навыку Ремонта +25%</t>
  </si>
  <si>
    <t>Сделать доступ к четвертой бочке в подвале дома Уиллоусби в Таранте</t>
  </si>
  <si>
    <t>Если у призванного Огра Бандита не оказалось оружия, то он наносил нулевой урон (исправление из мода «Arcanum 1.0.7.5»)</t>
  </si>
  <si>
    <t>Шахты Черной Горы, Кузница</t>
  </si>
  <si>
    <t>ВЛ:+2 (временно)</t>
  </si>
  <si>
    <t>Добавить вход в Подземелье Ученых в комнате с большим деревянным ящиком, расположенной в замке короля Каладона</t>
  </si>
  <si>
    <t>Настойка Координации</t>
  </si>
  <si>
    <t>Каладон, сундук на 1 уровне Подземелья Ученых</t>
  </si>
  <si>
    <t>Сундук в мастерской Лайэма Кэмерона</t>
  </si>
  <si>
    <t>Чёрный Корень, сундук в доме Лидии Кэмерон</t>
  </si>
  <si>
    <t>Каладон, сейф на 2 уровне Подземелья Ученых</t>
  </si>
  <si>
    <t>Клан Колеса, Дредж, Черный Сундук</t>
  </si>
  <si>
    <t>Заряженное Медное Кольцо</t>
  </si>
  <si>
    <t>Заряженное Серебряное Кольцо</t>
  </si>
  <si>
    <t>Заряженное Золотое Кольцо</t>
  </si>
  <si>
    <t>Заряженное Мифриловое Кольцо</t>
  </si>
  <si>
    <t>ЛВ:+1</t>
  </si>
  <si>
    <t>ЛВ:+1, СЭ:+3</t>
  </si>
  <si>
    <t>Серебряное Кольцо</t>
  </si>
  <si>
    <t>Золотое Кольцо</t>
  </si>
  <si>
    <t>Дисциплина «Электрика», уровень 2</t>
  </si>
  <si>
    <t>Уменьшить технологическую склонность Заряженного Медного Кольца к Электричеству с 25 до 20</t>
  </si>
  <si>
    <t>Добавить Очкам Клана Колеса технологическую склонность к Механике в 10 единиц (исправление схемы)</t>
  </si>
  <si>
    <t>Добавить Очкам технологическую склонность к Механике в 10 единиц</t>
  </si>
  <si>
    <t>Увеличить технологическую склонность Компаса к Электричеству с 0 до 15</t>
  </si>
  <si>
    <t>В деревне Туманные Холмы дать Охраннику банка Старый Револьвер и сделать его Новичком в Огнестрельном Оружии</t>
  </si>
  <si>
    <t>Уменьшить технологическую склонность Звериного Аромата к Химии с 85 до 20</t>
  </si>
  <si>
    <t>Изменить склонность Мифрила с 85 к Магии на 70 к Кузнечеству</t>
  </si>
  <si>
    <t>Убрать технологическую склонность Большого Шлема</t>
  </si>
  <si>
    <t>В деревне Туманные Холмы дать Униформу Офицера второму Убийце, который появляется после моста если убить Уильяма Редклиффа</t>
  </si>
  <si>
    <t>Кольцо для Ключей</t>
  </si>
  <si>
    <t>0</t>
  </si>
  <si>
    <t>В деревне Туманные Холмы изменить уровень Уильяма Редклиффа после моста с 3 на 5, у второго Убийцы с 3 на 8, а так же улучшить их навыки Уклонения и Рукопашной</t>
  </si>
  <si>
    <t>В деревне Туманные Холмы изменить уровень Уильяма Редклиффа возле храма с 12 на 5, а так же дать ему те же предметы, что у него есть после преодоления моста</t>
  </si>
  <si>
    <t>Исправить изображение Рукавиц Карликов на схеме</t>
  </si>
  <si>
    <t>Ружье Вендигрота теперь в руках выглядит как полагается, а не как Складное Ружье</t>
  </si>
  <si>
    <t>Большая Труба</t>
  </si>
  <si>
    <t>Увеличить технологическую склонность Хорошего Стального Кинжала к Кузнечеству с 0 до 20</t>
  </si>
  <si>
    <t>Уменьшить технологическую склонность Сильного Яда к Химии с 75 до 45</t>
  </si>
  <si>
    <t>Яд</t>
  </si>
  <si>
    <t>ТС:-2 (временно)</t>
  </si>
  <si>
    <t>ТС:-1  ЛВ:-1  (временно)</t>
  </si>
  <si>
    <t>ПЯ:200  ТС:-2  (временно)</t>
  </si>
  <si>
    <t>ПЯ:290</t>
  </si>
  <si>
    <t>ПЯ:20</t>
  </si>
  <si>
    <t>ПЯ:40</t>
  </si>
  <si>
    <t>ПЯ:10</t>
  </si>
  <si>
    <t>ПЯ:70</t>
  </si>
  <si>
    <t>ПЯ:120</t>
  </si>
  <si>
    <t>Препарат Железной Воли</t>
  </si>
  <si>
    <t>Кольцо Сопротивляемости Яду</t>
  </si>
  <si>
    <t>БР:(+10)  СЯ:(+20)</t>
  </si>
  <si>
    <t>БР:(+10)  СЯ:(+20),  Лечение Яда (можно использовать из ячейки быстрого доступа)</t>
  </si>
  <si>
    <t>Удалить Замшевое Тряпье из ассортимента городских Кузнецов</t>
  </si>
  <si>
    <t>Бывает в продаже у квалифицированных Кузнецов</t>
  </si>
  <si>
    <t>В радиусе 5 единиц отбрасывает врагов от заклинателя (существам из воздуха при этом наносится 30-50 ПВ)</t>
  </si>
  <si>
    <t>В радиусе 3 единиц сбивает врагов с ног, отнимая у них 10-15 УС (существам из воздуха при этом наносится 30-45 ПВ)</t>
  </si>
  <si>
    <t>Нейтрализатор Потока</t>
  </si>
  <si>
    <t>Иммунитет к некоторым заклинаниям</t>
  </si>
  <si>
    <t>СМ:+50(-50),  Иммунитет к некоторым заклинаниям</t>
  </si>
  <si>
    <t>СМ:+30(-30)</t>
  </si>
  <si>
    <t>БР</t>
  </si>
  <si>
    <t>Увеличить технологическую склонность Щита Нарушителя Потока к Электричеству с 60 до 75</t>
  </si>
  <si>
    <t>Увеличить количество Строителей Мозга и Мускулеров, получаемых при сборке по схеме, с 1 до 2</t>
  </si>
  <si>
    <t>ВЛ:(-2),  Предел Веса:(+1000)</t>
  </si>
  <si>
    <t>55(-25)</t>
  </si>
  <si>
    <t>Плащ Теней</t>
  </si>
  <si>
    <t>-4(+25)</t>
  </si>
  <si>
    <t>Бывает в продаже у Гербалистов</t>
  </si>
  <si>
    <t>1050</t>
  </si>
  <si>
    <t>Закаленный Щит</t>
  </si>
  <si>
    <t>Увеличить технологическую склонность Закаленного Щита к Кузнечеству с 10 до 70 единиц</t>
  </si>
  <si>
    <t>820</t>
  </si>
  <si>
    <t>Исправить музыку, играющую при передвижении по канализации Таранта</t>
  </si>
  <si>
    <t>55(-20)</t>
  </si>
  <si>
    <t>Добавить Лавовому Камню технологическую склонность к Кузнечеству в 40 единиц</t>
  </si>
  <si>
    <t>Кольцо Черных Гномов</t>
  </si>
  <si>
    <t>Кольцо Древних Богов</t>
  </si>
  <si>
    <t>Бывает в продаже у Кузнецов карликов</t>
  </si>
  <si>
    <t>Сделать фиолетовым цвет эффекта от препаратов Терапевтики, влияющих на тело</t>
  </si>
  <si>
    <t>Сделать бирюзовым цвет эффекта от препаратов Терапевтики, влияющих на разум</t>
  </si>
  <si>
    <t>Искусный Кинжал</t>
  </si>
  <si>
    <t>137</t>
  </si>
  <si>
    <t>Увеличить технологическую склонность Искусного Кинжала к Кузнечеству с 15 до 30</t>
  </si>
  <si>
    <t>Добавить Стилет в ассортимент сельских Кузнецов, а Искусный Кинжал в ассортимент городских Кузнецов и карликов</t>
  </si>
  <si>
    <t>430</t>
  </si>
  <si>
    <t>СЛ 4, ИН 10</t>
  </si>
  <si>
    <t>Исправить изображение Кинжала в руках и в окошке на схеме (сделать темный цвет как в инвентаре)</t>
  </si>
  <si>
    <t>Исправить изображения металлических колец (внутренняя тень не должна быть прозрачной)</t>
  </si>
  <si>
    <t>Увеличить технологическую склонность Активизатора к Терапевтике до 95</t>
  </si>
  <si>
    <t>Уменьшить технологическую склонность Тоника Физической Удали к Терапевтике с 78 до 30</t>
  </si>
  <si>
    <t>Вендигротский Эликсир</t>
  </si>
  <si>
    <t>Увеличить технологическую склонность Вендигротского Эликсира к Терапевтике с 85 до 95</t>
  </si>
  <si>
    <t>СЛ:ТС:+1 ЛВ:ВС:-1 ИН:-3 ОБ:-2</t>
  </si>
  <si>
    <t>Нюхательный Табак Карликов</t>
  </si>
  <si>
    <t>Восстанавливает 5 единиц Здоровья в течение 50 сек.</t>
  </si>
  <si>
    <t>Восстанавливает 5 единиц Энергии в течение 50 сек.</t>
  </si>
  <si>
    <t>Ключевая Вода Эльфов</t>
  </si>
  <si>
    <t>Хлеб</t>
  </si>
  <si>
    <t>Сладкие Пирожные</t>
  </si>
  <si>
    <t>Восстанавливают 5 единиц Здоровья в течение 50 сек.</t>
  </si>
  <si>
    <t>Бренди Шато де Бе'рон</t>
  </si>
  <si>
    <t>ОБ:+2 СЛ:+1 ЛВ:ИН:ВЛ:-1  при первом приеме и  ЛВ:ИН:-2 СВ:ВС:ОБ:-1  при последующих</t>
  </si>
  <si>
    <t>ИН:ВЛ:ВС:ОБ: +2 (временно)</t>
  </si>
  <si>
    <t>ИН:ВЛ:ВС:ОБ: +1   СЛ:ТС:ЛВ:КР: -1  (эффект)</t>
  </si>
  <si>
    <t>СЛ:ТС:ЛВ:КР: +1   ИН:ВЛ:ВС:ОБ: -1  (эффект)</t>
  </si>
  <si>
    <t>ТС:ВС:+1 СЛ:ВЛ:ОБ:-1</t>
  </si>
  <si>
    <t>Снайперский Арбалет</t>
  </si>
  <si>
    <t>Уменьшить магическую склонность Яда Калиспи с 50 до 30</t>
  </si>
  <si>
    <t>Лечит 20 единиц Здоровья</t>
  </si>
  <si>
    <t>Уменьшить технологическую склонность Целебной Мази к Гербологии с 65 до 20</t>
  </si>
  <si>
    <t>Уменьшить технологическую склонность Восстановителя к Гербологии с 40 до 25</t>
  </si>
  <si>
    <t>Уменьшить технологическую склонность Лекарства от Яда к Гербологии с 55 до 35</t>
  </si>
  <si>
    <t>Жестяная Банка</t>
  </si>
  <si>
    <t>Увеличить технологическую склонность Добротного Молота к Кузнечеству с 25 до 40</t>
  </si>
  <si>
    <t>Улучшить изображение Машинного Молота в инвентаре и в руках</t>
  </si>
  <si>
    <t>Добавить Помятому Железному Щиту технологическую склонность к Кузнечеству в 30 единиц</t>
  </si>
  <si>
    <t>Добавить Хорошему Треугольному Щиту технологическую склонность к Кузнечеству в 40 единиц</t>
  </si>
  <si>
    <t>Добавить Качественному Железному Щиту технологическую склонность к Кузнечеству в 50 единиц</t>
  </si>
  <si>
    <t>Добавить Мифриловому Кольцу технологическую склонность к Кузнечеству в 30 единиц</t>
  </si>
  <si>
    <t>Свиток магии Темпус Фугит ускоряет героя, но замедляет его союзников</t>
  </si>
  <si>
    <t>Свиток магии Ледяной Шквал наносит урон герою и союзникам</t>
  </si>
  <si>
    <t>Свиток магии Порыв Ветра не работает на врагов</t>
  </si>
  <si>
    <t>Усилить биографию "Рожденный под Знаком" (силу эффектов с 10 до 15)</t>
  </si>
  <si>
    <t>Ослабить биографию "Сбежавший из дурки" (сопротивления с +25 до +15, реакцию с -25 до -20)</t>
  </si>
  <si>
    <t>Заменить изображение Стали Карликов в инвентаре (взято из патча «Arcanum 1.0.7.5») и на земле</t>
  </si>
  <si>
    <t>Сделать картинку Электрического Фонаря светящейся только при его использовании</t>
  </si>
  <si>
    <t>Сделать картинку Керосиновой Лампы светящейся только при ее использовании</t>
  </si>
  <si>
    <t>Увеличить количество Здоровья и Усталости, получаемых за очко развития, с 4 до 6</t>
  </si>
  <si>
    <t>Кольцо Защиты</t>
  </si>
  <si>
    <t>БР:(+10)  СП:(+10)</t>
  </si>
  <si>
    <t>БР:(+10)  СП:(+10),  Защитная Сфера (можно использовать из ячейки быстрого доступа)</t>
  </si>
  <si>
    <t>Изменить цвет эффекта от мазей и зелий Гербологии с бирюзового на зеленый</t>
  </si>
  <si>
    <t>Увеличить максимальный Переносимый Вес с 10000 до 20000 (использована информация с форума www.terra-arcanum.com)</t>
  </si>
  <si>
    <t>Увеличить максимальное Количество Последователей с 7 до 10 (использована информация с форума www.terra-arcanum.com)</t>
  </si>
  <si>
    <t>Добавить 5 единиц различия в весе между куртками и робами разного размера</t>
  </si>
  <si>
    <t>Улучшить иконку исполняемого файла игры (новая иконка с размерами вплоть до 256х256 взята из репака от автора Icefall)</t>
  </si>
  <si>
    <t>Увеличить технологическую склонность Топлива к Взрывчатке с 8 до 10</t>
  </si>
  <si>
    <t>2400</t>
  </si>
  <si>
    <t>Фонарь</t>
  </si>
  <si>
    <t>Керосиновая Лампа</t>
  </si>
  <si>
    <t>Электрический Фонарь</t>
  </si>
  <si>
    <t>Изменить цвет освещения от Механического Фонаря с фиолетового на белый и убрать анимацию над головой</t>
  </si>
  <si>
    <t>Светит, Расходует батареи (1 шт. / 120 сек.)</t>
  </si>
  <si>
    <t>Светит,  Расходует топливо (1 шт. / 100 сек.)</t>
  </si>
  <si>
    <t>Светит,  Расходует батареи (1 шт. / 100 сек.)</t>
  </si>
  <si>
    <t>В описании биографии явно указать с каким количеством золота начинает игрок, как это сделано в моде «Arcanum 1.5 Expansion (2012)»</t>
  </si>
  <si>
    <t>В биографии «Ребенок Героя» заменить Околдованный Меч на Меч Паладина из мода «Arcanum 1.5 Expansion (2012)»</t>
  </si>
  <si>
    <t>Перенести амуницию убийцы на месте крушения дирижабля из мода «Arcanum 1.5 Expansion (2012)»</t>
  </si>
  <si>
    <t>Убрать защиту от магии у Ожерелья Кейси (взято из мода «Arcanum 1.5 Expansion (2012)»)</t>
  </si>
  <si>
    <t>Винтовка Дальнего Действия</t>
  </si>
  <si>
    <t>Дубовая Рукоять должна относиться к типу Топоры (влияет на расположение в менюшках редактора мира)</t>
  </si>
  <si>
    <t>Препараты гербологии должны относиться к типу Гербология, а не Общее (влияет на расположение в менюшках редактора мира)</t>
  </si>
  <si>
    <t>Препараты терапевтики должны относиться к типу Терапевтика, а не Общее (влияет на расположение в менюшках редактора мира)</t>
  </si>
  <si>
    <t>Уменьшить технологическую склонность Ограничителя Усталости к Гербологии с 60 до 50</t>
  </si>
  <si>
    <t>Экстракт Ведьминого Ореха</t>
  </si>
  <si>
    <t>Эликсир Гипнотического Внушения</t>
  </si>
  <si>
    <t>Увеличить бонус к Взлому у Грубых Отмычек с 0% до 5%</t>
  </si>
  <si>
    <t>Подборный Ключ</t>
  </si>
  <si>
    <t>Отмычки</t>
  </si>
  <si>
    <t>Добавить описание для Кольца Влияний и Кольца Безмолвия</t>
  </si>
  <si>
    <t>Добавить Инструментам взлома Дж. Т. Моргана бонус к Взлому 35%, а так же возможность их использовать</t>
  </si>
  <si>
    <t>Изменить изображение Тяжелого Шерстяного Тряпья на теле героя</t>
  </si>
  <si>
    <t>Увеличить максимальное пенальти к Силе и Ловкости от отравления с 3 единиц (уровень яда / 100) до 6 (уровень яда / 150)</t>
  </si>
  <si>
    <t>В деревне Туманные Холмы положить Листовой Металл в Вагонетку, расположенную в конце шахты Бесси Туун</t>
  </si>
  <si>
    <t>Изменить внешний вид Элитной Пластинчатой Брони на теле героя на вид технологической брони</t>
  </si>
  <si>
    <t>Изменить внешний вид Тайной Пластинчатой Брони на теле героя на вид обычной брони</t>
  </si>
  <si>
    <t>Увеличить прочность Малых Металлических Объектов с 15 до 50 единиц (исправление подсвечников)</t>
  </si>
  <si>
    <t>Уменьшить прочность Металлических Объектов с 200 до 100 единиц (исправление подсвечников)</t>
  </si>
  <si>
    <t>Шлем и крепкая броня должны давать шанс блока оглушения от молота (Plate Technical +60, Plate Classic +45, Barbarian +30, Helmet Technical +30, Helmet Big +20, Helmet +10)</t>
  </si>
  <si>
    <t>СЛ</t>
  </si>
  <si>
    <t>ТС</t>
  </si>
  <si>
    <t>ЛВ</t>
  </si>
  <si>
    <t>КР</t>
  </si>
  <si>
    <t>ИН</t>
  </si>
  <si>
    <t>ВЛ</t>
  </si>
  <si>
    <t>ВС</t>
  </si>
  <si>
    <t>ОБ</t>
  </si>
  <si>
    <t>Существо</t>
  </si>
  <si>
    <t>Здоровье</t>
  </si>
  <si>
    <t>Навыки</t>
  </si>
  <si>
    <t>Рукопашная 20 (Мастер)</t>
  </si>
  <si>
    <t>Рукопашная 20 (Эксперт)</t>
  </si>
  <si>
    <t>Увеличить максимальное число Очков Развития с 56 до 255</t>
  </si>
  <si>
    <t>3-13</t>
  </si>
  <si>
    <t>2-22</t>
  </si>
  <si>
    <t>Хранитель Страж</t>
  </si>
  <si>
    <t>Хранитель Рубила</t>
  </si>
  <si>
    <t>Хранитель Кровавый Коготь</t>
  </si>
  <si>
    <t>Хранитель Ядовитый Коготь</t>
  </si>
  <si>
    <t>Хранитель</t>
  </si>
  <si>
    <t>Рукопашная 11 (Эксперт)</t>
  </si>
  <si>
    <t>Рукопашная 11</t>
  </si>
  <si>
    <t>Рукопашная 15 (Ученик)</t>
  </si>
  <si>
    <t>Рукопашная 19 (Эксперт)</t>
  </si>
  <si>
    <t>9-18</t>
  </si>
  <si>
    <t>13</t>
  </si>
  <si>
    <t>104</t>
  </si>
  <si>
    <t>96</t>
  </si>
  <si>
    <t>Рукопашная 15 (Эксперт)</t>
  </si>
  <si>
    <t>17</t>
  </si>
  <si>
    <t>Рукопашная 19 (Мастер)</t>
  </si>
  <si>
    <t>46</t>
  </si>
  <si>
    <t>Призывает Демона</t>
  </si>
  <si>
    <t>Парализует существо. Не дает колдовать. Не работает на мертвых существ.</t>
  </si>
  <si>
    <t>Создает иллюзию Ужасного Паука</t>
  </si>
  <si>
    <t>Увеличить дополнительный физический урон от магии Тело из Земли с 5 до 10 (использованы изыскания товарища Drog Black Tooth)</t>
  </si>
  <si>
    <t>Уменьшить дополнительный огненный урон от магии Тело из Огня с 15 до 10 (использованы изыскания товарища Drog Black Tooth)</t>
  </si>
  <si>
    <t>Уменьшить дополнительный урон энергии от магии Тело из Воды с 15 до 10 (использованы изыскания товарища Drog Black Tooth)</t>
  </si>
  <si>
    <t>Увеличить дополнительный физический урон от магии Твердые Руки с 2 до 3 (использованы изыскания товарища Drog Black Tooth)</t>
  </si>
  <si>
    <t>Сделать так, чтобы всех механических последователей мог отключить только их владелец</t>
  </si>
  <si>
    <t>Рукопашная 11 (Ученик)</t>
  </si>
  <si>
    <t>52</t>
  </si>
  <si>
    <t>21</t>
  </si>
  <si>
    <t>86</t>
  </si>
  <si>
    <t>Керган</t>
  </si>
  <si>
    <t>152</t>
  </si>
  <si>
    <t>156</t>
  </si>
  <si>
    <t>Керган (призрак)</t>
  </si>
  <si>
    <t>Керган (дракон)</t>
  </si>
  <si>
    <t>Керган (раковина)</t>
  </si>
  <si>
    <t>48</t>
  </si>
  <si>
    <t>72</t>
  </si>
  <si>
    <t>162</t>
  </si>
  <si>
    <t>Увеличить максимальный индекс для Ключей с 12062 до 12063 (использована информация с форума www.terra-arcanum.com)</t>
  </si>
  <si>
    <t>Увеличить максимальный индекс для Оружия с 6178 до 6181 (использована информация с форума www.terra-arcanum.com)</t>
  </si>
  <si>
    <t>Увеличить максимальный индекс для Предметов с 15212 до 15213 (использована информация с форума www.terra-arcanum.com)</t>
  </si>
  <si>
    <t>Неизвестный Химический Компонент</t>
  </si>
  <si>
    <t>Увеличить максимальный индекс для Еды с 10144 до 10145 (использована информация с форума www.terra-arcanum.com)</t>
  </si>
  <si>
    <t>Малая Пластинчатая Броня Лечения</t>
  </si>
  <si>
    <t>20(+5)</t>
  </si>
  <si>
    <t>15(+7)</t>
  </si>
  <si>
    <t>1330</t>
  </si>
  <si>
    <t>18(+5)</t>
  </si>
  <si>
    <t>Пластинчатая Броня Лечения</t>
  </si>
  <si>
    <t>Изменить изображение Тайной Пластинчатой Брони в инвентаре, чтобы она не была такой же как Пластинчатая Броня Мифрила</t>
  </si>
  <si>
    <t>Увеличить технологическую склонность Пластинчатой Брони Карликов к Кузнечеству с 15 до 85</t>
  </si>
  <si>
    <t>Уменьшить количество Активаторов Ловушек и Стимуляторов, получаемых при сборке по схеме, с 3 до 2</t>
  </si>
  <si>
    <t>Уменьшить количество Механических Манков, получаемых при сборке по схеме, с 3 до 1</t>
  </si>
  <si>
    <t>Одеколон «Дракон»</t>
  </si>
  <si>
    <t>Одеколон Дракон</t>
  </si>
  <si>
    <t>Парфюм Утренняя Звезда</t>
  </si>
  <si>
    <t>КР:+1 (на 720 секунд)</t>
  </si>
  <si>
    <t>КР:+1 для мужчин,  КР:-1 для женщин  (на 480 секунд)</t>
  </si>
  <si>
    <t>КР:+1 для женщин,  КР:-1 для мужчин  (на 480 секунд)</t>
  </si>
  <si>
    <t>Исправлена магия Полиморф - невозможен ее каст на механических существ (исправление из мода «Arcanum 1.0.7.5»)</t>
  </si>
  <si>
    <t>Шокирующий Посох наносит урон электричеством не при каждом ударе, а постоянно и с большой скоростью после первого же попадания</t>
  </si>
  <si>
    <t>0-0(+14)</t>
  </si>
  <si>
    <t>0-0(+20)</t>
  </si>
  <si>
    <t>720</t>
  </si>
  <si>
    <t>Увеличить максимальный урон от отравления с 3 единиц в секунду до 20 (уровень яда / 50 + 1)</t>
  </si>
  <si>
    <t>Уменьшить максимальный уровень отравления до 999, так так 1000 не влезает в окно и не отображается</t>
  </si>
  <si>
    <t>Восстанавливает 25 единиц Здоровья</t>
  </si>
  <si>
    <t>Восстанавливает 25 единиц Энергии</t>
  </si>
  <si>
    <t>Лечит 75 единиц Здоровья</t>
  </si>
  <si>
    <t>Восстанавливает 75 единиц Энергии</t>
  </si>
  <si>
    <t>Лечит 100 единиц Здоровья, Энергии и Яда</t>
  </si>
  <si>
    <t>Выводит 40(+60) единиц Яда</t>
  </si>
  <si>
    <t>Восстанавливает 5(+25) единиц Здоровья</t>
  </si>
  <si>
    <t>Восстанавливает 5(+20) единиц Здоровья</t>
  </si>
  <si>
    <t>Восстанавливает 40(+40) единиц Здоровья,  Убирает увечья и шрамы</t>
  </si>
  <si>
    <t>Излечение</t>
  </si>
  <si>
    <t>Исцеление</t>
  </si>
  <si>
    <t>Выводит 50 единиц Яда</t>
  </si>
  <si>
    <t>Восстанавливает 30(+45) единиц Здоровья,  Убирает увечья и шрамы</t>
  </si>
  <si>
    <t>Остановить Яд</t>
  </si>
  <si>
    <t>Очищение</t>
  </si>
  <si>
    <t>Превращает цель в сгусток огня (СО:95, СЯ:97, СЭ:+8).</t>
  </si>
  <si>
    <t>Наносит врагам огненный урон с большой скоростью.</t>
  </si>
  <si>
    <t>Наносит врагам огненный урон с большой скоростью. Освещает местность в радиусе 3 клеток.</t>
  </si>
  <si>
    <t>Позаимствовать освещение вокруг Блуждающих Огоньков и Элементалей Огня из Ultimate Nightmare Mod v1.05</t>
  </si>
  <si>
    <t>Добавить освещение вокруг Спектрального Духа, Огненной Тени, Мистического Демона и Кипящей Массы</t>
  </si>
  <si>
    <t>Позаимствовать суточное освещение, а так же свет от заклинаний школы Огня из Ultimate Nightmare Mod v1.04</t>
  </si>
  <si>
    <t>Превращает цель в сгусток огня (СО:95, СЯ:95, СЭ:+15). Освещает местность в радиусе 4 клеток.</t>
  </si>
  <si>
    <t>Создает в целевом квадрате Элементаля Огня, который нападает на врагов мага. Освещает местность в радиусе 4 клеток.</t>
  </si>
  <si>
    <t>Светит (зависит от магической склонности)</t>
  </si>
  <si>
    <t>Свиток магии Торможение работает как на врагов, так и на союзников</t>
  </si>
  <si>
    <t>Свиток магии Идентификация невозможно использовать на предмет (не открывается инвентарь)</t>
  </si>
  <si>
    <t>Ослабить магию Ледяной Шквал ибо она убивает слишком быстро (нанесение урона вызывает зацикленное дополнительное поражение)</t>
  </si>
  <si>
    <t>Док Робертс в Туманных Холмах стреляет, хотя у него нет пистолета (для исправления ему выдан Хороший Кремневый Пистолет)</t>
  </si>
  <si>
    <t>Расходует батареи (1 шт. / 30 сек.)</t>
  </si>
  <si>
    <t>Расходует батареи (1 за разряд)</t>
  </si>
  <si>
    <t>Регенерация 5 ЗД и 3 ЭН каждые 4 сек. за 1 батарею</t>
  </si>
  <si>
    <t>Вместо увеличения расхода батарей в заклинаниях при высокой технологической склонности должно быть увеличение при её отсутствии</t>
  </si>
  <si>
    <t>Галлюциногенный Газ</t>
  </si>
  <si>
    <t>Вызывает галлюцинации (временно), а так же враждебную реакцию</t>
  </si>
  <si>
    <t>Вызывает паралич на 6 секунд, а так же враждебную реакцию</t>
  </si>
  <si>
    <t>Вызывает галлюцинации у врагов</t>
  </si>
  <si>
    <t>Вызывает галлюцинации у всех</t>
  </si>
  <si>
    <t>Вызывает у вагов паралич на 6 сек.</t>
  </si>
  <si>
    <t>Вызывает у всех паралич на 8 сек.</t>
  </si>
  <si>
    <t>Парализующий Газ</t>
  </si>
  <si>
    <t>Перенести схему Батарей из Лимона и Картошки из ассортимента Изобретателей к Гербалистам</t>
  </si>
  <si>
    <t>Пивные Дрожжи</t>
  </si>
  <si>
    <t>Уменьшить размер картинки Пивных Дрожжей в 4 раза</t>
  </si>
  <si>
    <t>Сильный Яд добавляет эффект Машинной Брони, заменить на эффект от Аква Вита Вархама</t>
  </si>
  <si>
    <t>Изменить наименование быстрого сохранения с "Auto-Save" на "(Быстрое)"</t>
  </si>
  <si>
    <t>Урон от отравления не должен зависеть от сопротивления повреждениям</t>
  </si>
  <si>
    <t>Увеличить частоту Выведения Яда в 8 раз</t>
  </si>
  <si>
    <t>Увеличить разницу Телосложения, требуемую для изменения скорости Выведения Яда, с 1 до 2</t>
  </si>
  <si>
    <t>Уменьшить разницу Телосложения, требуемую для изменения скорости Выздоровления, с 3 до 2</t>
  </si>
  <si>
    <t>СЯ:+20,  Лечение от Яда +5</t>
  </si>
  <si>
    <t>Увеличить максимальную скорость Выведения Яда с 20 до 30 (использована информация с форума www.terra-arcanum.com)</t>
  </si>
  <si>
    <t>Увеличить максимальную скорость Выздоровления с 6 до 30 (использована информация с форума www.terra-arcanum.com)</t>
  </si>
  <si>
    <t>Заклинатель магически перемещается в выбранный пустой квадрат в радиусе 8 клеток.</t>
  </si>
  <si>
    <t>Сделать так, чтобы жертвы на месте крушения умирали не при приближении к ним, а сразу при старте игры</t>
  </si>
  <si>
    <t>2150</t>
  </si>
  <si>
    <t>2950</t>
  </si>
  <si>
    <t>-70(+3)</t>
  </si>
  <si>
    <t>-70(+6)</t>
  </si>
  <si>
    <t>-70(+9)</t>
  </si>
  <si>
    <t>-70(+12)</t>
  </si>
  <si>
    <t>17(+3)</t>
  </si>
  <si>
    <t>17(+6)</t>
  </si>
  <si>
    <t>17(+9)</t>
  </si>
  <si>
    <t>17(+12)</t>
  </si>
  <si>
    <t>34(+12)</t>
  </si>
  <si>
    <t>34(+9)</t>
  </si>
  <si>
    <t>34(+6)</t>
  </si>
  <si>
    <t>34(+3)</t>
  </si>
  <si>
    <t>25(+12)</t>
  </si>
  <si>
    <t>25(+9)</t>
  </si>
  <si>
    <t>25(+6)</t>
  </si>
  <si>
    <t>25(+3)</t>
  </si>
  <si>
    <t>-10(+3)</t>
  </si>
  <si>
    <t>-10(+9)</t>
  </si>
  <si>
    <t>-10(+12)</t>
  </si>
  <si>
    <t>350(+25)</t>
  </si>
  <si>
    <t>350(+50)</t>
  </si>
  <si>
    <t>350(+75)</t>
  </si>
  <si>
    <t>350(+100)</t>
  </si>
  <si>
    <t>200(+30)</t>
  </si>
  <si>
    <t>200(+15)</t>
  </si>
  <si>
    <t>200(+45)</t>
  </si>
  <si>
    <t>200(+60)</t>
  </si>
  <si>
    <t>100(+10)</t>
  </si>
  <si>
    <t>100(+20)</t>
  </si>
  <si>
    <t>100(+30)</t>
  </si>
  <si>
    <t>100(+40)</t>
  </si>
  <si>
    <t>65(+5)</t>
  </si>
  <si>
    <t>65(+10)</t>
  </si>
  <si>
    <t>65(+15)</t>
  </si>
  <si>
    <t>65(+20)</t>
  </si>
  <si>
    <t>60(+20)</t>
  </si>
  <si>
    <t>60(+40)</t>
  </si>
  <si>
    <t>60(+5)</t>
  </si>
  <si>
    <t>60(+10)</t>
  </si>
  <si>
    <t>60(+15)</t>
  </si>
  <si>
    <t>150(+25)</t>
  </si>
  <si>
    <t>150(+50)</t>
  </si>
  <si>
    <t>150(+75)</t>
  </si>
  <si>
    <t>150(+100)</t>
  </si>
  <si>
    <t>200(+50)</t>
  </si>
  <si>
    <t>140(+10)</t>
  </si>
  <si>
    <t>140(+20)</t>
  </si>
  <si>
    <t>140(+30)</t>
  </si>
  <si>
    <t>140(+40)</t>
  </si>
  <si>
    <t>40(+5)</t>
  </si>
  <si>
    <t>40(+10)</t>
  </si>
  <si>
    <t>40(+15)</t>
  </si>
  <si>
    <t>40(+20)</t>
  </si>
  <si>
    <t>80(+25)</t>
  </si>
  <si>
    <t>120(+15)</t>
  </si>
  <si>
    <t>120(+30)</t>
  </si>
  <si>
    <t>120(+80)</t>
  </si>
  <si>
    <t>55(+5)</t>
  </si>
  <si>
    <t>55(+20)</t>
  </si>
  <si>
    <t>55(+15)</t>
  </si>
  <si>
    <t>55(+10)</t>
  </si>
  <si>
    <t>110(+10)</t>
  </si>
  <si>
    <t>110(+20)</t>
  </si>
  <si>
    <t>110(+30)</t>
  </si>
  <si>
    <t>110(+40)</t>
  </si>
  <si>
    <t>120(+45)</t>
  </si>
  <si>
    <t>120(+60)</t>
  </si>
  <si>
    <t>50(+5)</t>
  </si>
  <si>
    <t>50(+10)</t>
  </si>
  <si>
    <t>50(+15)</t>
  </si>
  <si>
    <t>50(+20)</t>
  </si>
  <si>
    <t>80(+10)</t>
  </si>
  <si>
    <t>80(+20)</t>
  </si>
  <si>
    <t>80(+30)</t>
  </si>
  <si>
    <t>80(+40)</t>
  </si>
  <si>
    <t>80(+5)</t>
  </si>
  <si>
    <t>80(+15)</t>
  </si>
  <si>
    <t>Магические Военные Сапоги</t>
  </si>
  <si>
    <t>Зачарованная Роба</t>
  </si>
  <si>
    <t>Зачарованный Дорожный Плащ</t>
  </si>
  <si>
    <t>Зачарованная Кожаная Броня</t>
  </si>
  <si>
    <t>Зачарованная Кольчуга</t>
  </si>
  <si>
    <t>Зачарованная Пластинчатая Броня</t>
  </si>
  <si>
    <t>Таинственный Кинжал</t>
  </si>
  <si>
    <t>Таинственный Меч</t>
  </si>
  <si>
    <t>Таинственный Большой Меч</t>
  </si>
  <si>
    <t>Таинственный Топор</t>
  </si>
  <si>
    <t>Таинственный Посох</t>
  </si>
  <si>
    <t>Таинственный Чакрам</t>
  </si>
  <si>
    <t>Таинственный Лук</t>
  </si>
  <si>
    <t>Таинственная Роба</t>
  </si>
  <si>
    <t>Таинственный Дорожный Плащ</t>
  </si>
  <si>
    <t>Таинственная Кожаная Броня</t>
  </si>
  <si>
    <t>Таинственная Кольчуга</t>
  </si>
  <si>
    <t>Таинственная Пластинчатая Броня</t>
  </si>
  <si>
    <t>Таинственный Щит</t>
  </si>
  <si>
    <t>Таинственный Шлем</t>
  </si>
  <si>
    <t>Выздоровление: (+40%)</t>
  </si>
  <si>
    <t>Выздоровление: (+50%), Выведение Яда: (+50%)</t>
  </si>
  <si>
    <t>Таинственные Перчатки</t>
  </si>
  <si>
    <t>460</t>
  </si>
  <si>
    <t>940</t>
  </si>
  <si>
    <t>1660</t>
  </si>
  <si>
    <t>2620</t>
  </si>
  <si>
    <t>Тайные Рукавицы Карликов</t>
  </si>
  <si>
    <t>Зачарованный Щит</t>
  </si>
  <si>
    <t>Зачарованный Шлем</t>
  </si>
  <si>
    <t>Зачарованные Перчатки</t>
  </si>
  <si>
    <t>СО:(+5)  СЭ:(+5)  СЯ:(+5)  СМ:(+5)</t>
  </si>
  <si>
    <t>Зачарованное Кольцо</t>
  </si>
  <si>
    <t>СО:(+10)  СЭ:(+10)  СЯ:(+10)  СМ:(+10)</t>
  </si>
  <si>
    <t>СО:(+15)  СЭ:(+15)  СЯ:(+15)  СМ:(+15)</t>
  </si>
  <si>
    <t>СО:(+20)  СЭ:(+20)  СЯ:(+20)  СМ:(+20)</t>
  </si>
  <si>
    <t>Тайное Кольцо</t>
  </si>
  <si>
    <t>Таинственное Кольцо</t>
  </si>
  <si>
    <t>Заколдованное Кольцо</t>
  </si>
  <si>
    <t>Мистическое Кольцо</t>
  </si>
  <si>
    <t>Магическое Кольцо</t>
  </si>
  <si>
    <t>Таинственная Булава</t>
  </si>
  <si>
    <t>Мистическая Булава</t>
  </si>
  <si>
    <t>Магическая Булава</t>
  </si>
  <si>
    <t>Зачарованная Булава</t>
  </si>
  <si>
    <t>Добавить 4 новых свитка для наложения чар на предметы, продающихся по цене 200-600-1200-2000 монет</t>
  </si>
  <si>
    <t>Большой Меч</t>
  </si>
  <si>
    <t>Бывает в продаже у Оружейника</t>
  </si>
  <si>
    <t>Уменьшить технологическую склонность Дымного Пороха к Взрывчатке с 55 до 15</t>
  </si>
  <si>
    <t>Изменить скриптовую команду "scroll distance: store in (num)" на команду "drain (num) fuel from inventory of (obj)"</t>
  </si>
  <si>
    <t>Наемный убийца Том Грак не появляется после разговора с сером Мэтом де Чезаре (ошибка мода)</t>
  </si>
  <si>
    <t>Увеличить максимальное количество Эффектов с 399 до 400 (использована информация с форума www.terra-arcanum.com)</t>
  </si>
  <si>
    <t>Увеличить максимальный индекс для Свитков с 11142 до 11146 (использована информация с форума www.terra-arcanum.com)</t>
  </si>
  <si>
    <t>Увеличить максимум Телосложения для Полу Орка с 21 до 22, чтобы можно было поднять скорость Выздоровления до 11</t>
  </si>
  <si>
    <t>Превращает врагов в овцу</t>
  </si>
  <si>
    <t>Превращает врагов в овцу, а союзников в сильного оборотня</t>
  </si>
  <si>
    <t>ИН:+2  ТС:+2  ЛВ:+2,  Ремонт и Обезвреживание +8,  Магия -20%,  Техника +20%</t>
  </si>
  <si>
    <t>ИН:+4  ЛВ:+4,  Ремонт и Обезвреживание +8,  Магия -25%,  Техника +25%,  Электрика, Взрывчатка, Механика, Кузнечество и Оружие +40</t>
  </si>
  <si>
    <t>Ключ от спальни Ристецце больше не должен открывать сундук с его товарами (взято из мода «Arcanum 1.5 Expansion (2012)»)</t>
  </si>
  <si>
    <t>Ботинок Бесси Тун и Камеру с места крушения Ристецце должен класть в шкафчик спальни, а не в сундук</t>
  </si>
  <si>
    <t>В универмагах должна быть возможность продать Хороший Костюм, Красивое Платье, Модные Мужские Ботинки, Модные Женские Сапожки и Шерстяные Куртки</t>
  </si>
  <si>
    <t>Хервор, стоящий у парового двигателя в бывшем храме Панарии Туманных Холмов, ночью должен идти спать, чтобы можно было выполнить квест не убивая его</t>
  </si>
  <si>
    <t>В ассортимент товаров Гербалиста нужно добавить Экстракт Ведьминого Ореха, нужный для создания Животной Приманки</t>
  </si>
  <si>
    <t>Регенерация 1 ЗД каждые 3 секунды в течение 72 секунд</t>
  </si>
  <si>
    <t>Регенерация 3 ЗД и 2 ЭН каждые 3 секунды в течение 90 секунд</t>
  </si>
  <si>
    <t>Замедлитель Усталости</t>
  </si>
  <si>
    <t>Зелье Концентрации</t>
  </si>
  <si>
    <t>Жидкость Утолщения Кожи</t>
  </si>
  <si>
    <t>Эликсир Жизненной Силы</t>
  </si>
  <si>
    <t>1650</t>
  </si>
  <si>
    <t>Увеличить технологическую склонность Заряженного Топора к Электричеству с 75 до 80</t>
  </si>
  <si>
    <t>Увеличить расход батарей Телепортирующим Устройством с 1 до 10</t>
  </si>
  <si>
    <t>СЛ 6, ИН 10</t>
  </si>
  <si>
    <t>СЛ 14, ИН 13</t>
  </si>
  <si>
    <t>СЛ 10, ИН 13</t>
  </si>
  <si>
    <t>СЛ 8, ИН 14</t>
  </si>
  <si>
    <t>СЛ 9, ИН 12</t>
  </si>
  <si>
    <t>Увеличить максимальный Уровень существ в игре с 50 до 125 (использован патч Arcanum universal level cap remover v0.0.1)</t>
  </si>
  <si>
    <t>306</t>
  </si>
  <si>
    <t>314</t>
  </si>
  <si>
    <t>302</t>
  </si>
  <si>
    <t>1202</t>
  </si>
  <si>
    <t>1214</t>
  </si>
  <si>
    <t>Жизнь Воздуха</t>
  </si>
  <si>
    <t>Заклятие поднимает Телосложение целевого существа на 4 единицы.</t>
  </si>
  <si>
    <t>Заклятие поднимает Телосложение целевого существа на 2(+2) единицы.</t>
  </si>
  <si>
    <t>Мощь Земли</t>
  </si>
  <si>
    <t>Заклятие, увеличивающее Силу цели на 4 единицы.</t>
  </si>
  <si>
    <t>Заклятие, увеличивающее Силу цели на 2(+2) единицы.</t>
  </si>
  <si>
    <t>Подвижность Огня</t>
  </si>
  <si>
    <t>Заклинание увеличивает Ловкость указанного существа на 4 единицы.</t>
  </si>
  <si>
    <t>Заклинание увеличивает Ловкость указанного существа на 2(+2) единицы.</t>
  </si>
  <si>
    <t>Чистота Воды</t>
  </si>
  <si>
    <t>Эти чары увеличивают Красоту цели на 4 единицы.</t>
  </si>
  <si>
    <t>Эти чары увеличивают Красоту цели на 2(+2) единицы.</t>
  </si>
  <si>
    <t>Вино, Бренди или Абсент</t>
  </si>
  <si>
    <t>Кольцо Судьбы</t>
  </si>
  <si>
    <t>Крит.Попад.:(+5%),  Игра:(+2)</t>
  </si>
  <si>
    <t>Крит.Попад.:(+5%),  Игра:(+1)</t>
  </si>
  <si>
    <t>В подвале изобретателя в Эшбери теперь лежит схема Заряженного Автоматона, а у изобретателей в остальных городах продаётся схема создания обычного Автоматона</t>
  </si>
  <si>
    <t>ИН:+10 (длится 60 секунд)</t>
  </si>
  <si>
    <t>Снижает расходы энергии (длится 60 секунд)</t>
  </si>
  <si>
    <t>Скорость бега: +20 (длится 60 секунд)</t>
  </si>
  <si>
    <t>СП:+20 (длится 60 секунд)</t>
  </si>
  <si>
    <t>СЯ:+80 (длится 60 секунд),  Эффект не суммируется</t>
  </si>
  <si>
    <t>ИН:+4 (длится 120 секунд)</t>
  </si>
  <si>
    <t>Снижает расходы энергии (длится 120 секунд)</t>
  </si>
  <si>
    <t>Скорость бега: +10 (длится 120 секунд)</t>
  </si>
  <si>
    <t>СП:+20 (длится 120 секунд)</t>
  </si>
  <si>
    <t>ПЯ:30, СЯ:+30 (длится 240 секунд),  Эффект суммируется</t>
  </si>
  <si>
    <t>Сделать схему Многоствольного Пистолета на фабрике Гилберта Бейтса изучаемой</t>
  </si>
  <si>
    <t>ИН:+1, ВЛ:+2, ВС:+2,  Игра, Торговля и Скрытность +6</t>
  </si>
  <si>
    <t>ИН:+2, ВЛ:+2, ВС:+2,  Игра, Торговля и Убеждение +6,  Магия +20%,  Техника -20%</t>
  </si>
  <si>
    <t>Находит любые ловушки, Расходует батареи (1 шт. / 45 сек.)</t>
  </si>
  <si>
    <t>Закаленный Железный Щит</t>
  </si>
  <si>
    <t>Щит Спектрометр Потока</t>
  </si>
  <si>
    <t>Увеличить максимальный индекс для Брони с 8292 до 8315 (использована информация с форума www.terra-arcanum.com)</t>
  </si>
  <si>
    <t>Увеличить максимальный индекс для Схем с 14129 до 14158 (использована информация с форума www.terra-arcanum.com)</t>
  </si>
  <si>
    <t>2-9(+16)</t>
  </si>
  <si>
    <t>2-9(+12)</t>
  </si>
  <si>
    <t>2-9(+8)</t>
  </si>
  <si>
    <t>10(+3)</t>
  </si>
  <si>
    <t>10(+1)</t>
  </si>
  <si>
    <t>Лук Эллюмина</t>
  </si>
  <si>
    <t>Вполовину увеличивает Скорость указанного существа. Не работает на мертвых.</t>
  </si>
  <si>
    <t>Вдвое уменьшает Скорость всех ближайших существ, которые не выполнили спас. бросок. Не работает на мертвых.</t>
  </si>
  <si>
    <t>1-6(+12)</t>
  </si>
  <si>
    <t>1-3(+4)</t>
  </si>
  <si>
    <t>1-3(+2)</t>
  </si>
  <si>
    <t>1-6(+9)</t>
  </si>
  <si>
    <t>1-6(+3)</t>
  </si>
  <si>
    <t>1-3(+1)</t>
  </si>
  <si>
    <t>1-3(+3)</t>
  </si>
  <si>
    <t>ЛВ:+2  Скорость:+50%  (временно)</t>
  </si>
  <si>
    <t>Кинжал</t>
  </si>
  <si>
    <t>11(+1)</t>
  </si>
  <si>
    <t>11(+2)</t>
  </si>
  <si>
    <t>11(+3)</t>
  </si>
  <si>
    <t>11(+4)</t>
  </si>
  <si>
    <t>СЛ 12(+4)</t>
  </si>
  <si>
    <t>СЛ 12(+3)</t>
  </si>
  <si>
    <t>СЛ 12(+2)</t>
  </si>
  <si>
    <t>СЛ 12(+1)</t>
  </si>
  <si>
    <t>Энергия:+6, Крит (+2%)</t>
  </si>
  <si>
    <t>Энергия:+12, Крит (+4%)</t>
  </si>
  <si>
    <t>Энергия:+18, Крит (+6%)</t>
  </si>
  <si>
    <t>Энергия:+24, Крит (+8%)</t>
  </si>
  <si>
    <t>Серебряная Леди</t>
  </si>
  <si>
    <t>253</t>
  </si>
  <si>
    <t>Наносит цели 15(+30) ПВ,  Заклинанию нельзя сопротивляться.</t>
  </si>
  <si>
    <t>Сделать увеличение возраста персонажа и всех остальных живых существ с течением времени</t>
  </si>
  <si>
    <t>Добавить вывод величины лидерства героя в окне выбора биографии</t>
  </si>
  <si>
    <t>Удалить непонятную добавку +30 к точности попадания на дистанции более 8 клеток (5 со спины)</t>
  </si>
  <si>
    <t>КР:(+2)</t>
  </si>
  <si>
    <t>КР:(+4), Подчинение (можно использовать из ячейки быстрого доступа)</t>
  </si>
  <si>
    <t>Ожерелье Королевы K'нa С'и</t>
  </si>
  <si>
    <t>Добавить возможность указать в файле "interface.mes" арт для привязанных к оружию заклинаний с номерами более 79</t>
  </si>
  <si>
    <t>Клинок Ксеркса</t>
  </si>
  <si>
    <t>30(-5)</t>
  </si>
  <si>
    <t>-85</t>
  </si>
  <si>
    <t>21(-3)</t>
  </si>
  <si>
    <t>СЛ:+3,  Снижает расход сил,  Тратит топливо (1 шт. / 30 сек.)</t>
  </si>
  <si>
    <t>СЛ:+4,  Снижает расход сил,  Тратит топливо (1 шт. / 30 сек.)</t>
  </si>
  <si>
    <t>СЛ:+5,  Снижает расход сил,  Тратит топливо (1 шт. / 30 сек.)</t>
  </si>
  <si>
    <t>СЛ:+3</t>
  </si>
  <si>
    <t>24(-4)</t>
  </si>
  <si>
    <t>Уменьшить снижение реакции существ при подчинении разума заклинанием или эликсиром с -50 до -30 единиц</t>
  </si>
  <si>
    <t>Малая Пластинчатая Броня Карликов</t>
  </si>
  <si>
    <t>СЛ 13, ИН 15</t>
  </si>
  <si>
    <t>СЛ 12, ИН 16</t>
  </si>
  <si>
    <t>Увеличить максимальный Возраст живых существ с 1000 до 10000 лет</t>
  </si>
  <si>
    <t>Назрудин</t>
  </si>
  <si>
    <t>Уклонение 12 (Эксперт), Убеждение 16 (Эксперт)</t>
  </si>
  <si>
    <t>281</t>
  </si>
  <si>
    <t>77</t>
  </si>
  <si>
    <t>Рукопашная 20 (Мастер), Уклонение 20 (Мастер)</t>
  </si>
  <si>
    <t>163</t>
  </si>
  <si>
    <t>Богарот</t>
  </si>
  <si>
    <t>134</t>
  </si>
  <si>
    <t>157</t>
  </si>
  <si>
    <t>Ветка диалога о покупке Зелья лечения ликантропии не пропадает после того как оно уже куплено</t>
  </si>
  <si>
    <t>Представительница Финансового Департамента Республики в квесте касательно переговоров с королевством Каладон не предлагала взятку даже при достаточном развитии у персонажа навыка Торговли</t>
  </si>
  <si>
    <t>При сдаче Зелья лечения ликантропии Синтия вылечивалась, но зелье оставалось в инвентаре её отца, откуда его можно было безконечно воровать и сдавать квест повторно, получая 1000 монет и Очко Судьбы (теперь зелье пропадает)</t>
  </si>
  <si>
    <t>Устройство Вендигрота</t>
  </si>
  <si>
    <t>Тяжелый Посох Грака</t>
  </si>
  <si>
    <t>СЛ 16(-6)</t>
  </si>
  <si>
    <t>2000(-1000)</t>
  </si>
  <si>
    <t>1-3(+20)</t>
  </si>
  <si>
    <t>Точность +5</t>
  </si>
  <si>
    <t>Точность +5,  Бронебойность 15%</t>
  </si>
  <si>
    <t>Точность +10,  Бронебойность 20%</t>
  </si>
  <si>
    <t>Точность (+5)</t>
  </si>
  <si>
    <t>Точность (+10), Плазменный Шар</t>
  </si>
  <si>
    <t>Точность (+10), Слабость</t>
  </si>
  <si>
    <t>Точность (+30)</t>
  </si>
  <si>
    <t>Точность (+10), Высасывает 3 единицы здоровья</t>
  </si>
  <si>
    <t>Точность (+10)</t>
  </si>
  <si>
    <t>Точность +10</t>
  </si>
  <si>
    <t>Точность +20</t>
  </si>
  <si>
    <t>Точность +10, Крит +20%</t>
  </si>
  <si>
    <t>Бронебойность 30%, Точность +10</t>
  </si>
  <si>
    <t>Точность +10, Шанс оглушить +15%</t>
  </si>
  <si>
    <t>Точность -10</t>
  </si>
  <si>
    <t>Точность -5</t>
  </si>
  <si>
    <t>Точность +5, Крит +10%, Тихо стреляет</t>
  </si>
  <si>
    <t>Точность +15</t>
  </si>
  <si>
    <t>Точность +15, Крит +15%</t>
  </si>
  <si>
    <t>Точность +10, Крит +10%, Тихо стреляет</t>
  </si>
  <si>
    <t>Точность +30, Крит +30%</t>
  </si>
  <si>
    <t>Точность +15, Крит +20%</t>
  </si>
  <si>
    <t>Часть урона по области</t>
  </si>
  <si>
    <t>Весь урон по области</t>
  </si>
  <si>
    <t>Точность +20, Урон по области</t>
  </si>
  <si>
    <t>Крит. по животным +50%, Точность +10</t>
  </si>
  <si>
    <t>Крит. по животным +50%, Точность (+10)</t>
  </si>
  <si>
    <t>Точность (+6)</t>
  </si>
  <si>
    <t>Точность (+12)</t>
  </si>
  <si>
    <t>Точность (+18)</t>
  </si>
  <si>
    <t>Точность (+24)</t>
  </si>
  <si>
    <t>Точность +15, Крит +15%, Тихо стреляет</t>
  </si>
  <si>
    <t>Точность +30(+30), Крит (+10%), ЛВ:(-4)</t>
  </si>
  <si>
    <t>Точность +10(+40), Крит (+10%), ЛВ:(-4)</t>
  </si>
  <si>
    <t>2-6(+20)</t>
  </si>
  <si>
    <t>6(-4)</t>
  </si>
  <si>
    <t>100(+400)</t>
  </si>
  <si>
    <t>50(+200)</t>
  </si>
  <si>
    <t>СЛ 6(+4)</t>
  </si>
  <si>
    <t>Очки Мастера Ловушек</t>
  </si>
  <si>
    <t>ВС:+4</t>
  </si>
  <si>
    <t>ВС:+2,  ЛВ:+2</t>
  </si>
  <si>
    <t>ВС:-1,  Магия:+20  Реакция:-20</t>
  </si>
  <si>
    <t>Светит,  ВС:-1</t>
  </si>
  <si>
    <t>11(+5)</t>
  </si>
  <si>
    <t>75(-25)</t>
  </si>
  <si>
    <t>Наносит урон всем, Повреждает амуницию</t>
  </si>
  <si>
    <t>Едкий Горчичный Газ</t>
  </si>
  <si>
    <t>Двери во внутреннее помещение дома Уиллоусби в Таранте теперь всегда закрыты (ключ у огра-охранника)</t>
  </si>
  <si>
    <t>Предмет, который по заданию Воровского подполья необходимо достать из сундука в доме миссис Петтибоун, получил уникальное имя - "Заколдованное Зеркало"</t>
  </si>
  <si>
    <t>Увеличить уровень героя, необходимый для изучения 2 уровня заклинаний, с 1 до 2</t>
  </si>
  <si>
    <t>Рой Насекомых</t>
  </si>
  <si>
    <t>Рой Пчел</t>
  </si>
  <si>
    <t>Увеличивает освещение в радиусе 2 клеток вокруг целевого существа</t>
  </si>
  <si>
    <t>Увеличивает освещение в радиусе 3 клеток вокруг целевого объекта</t>
  </si>
  <si>
    <t>Это заклинание призывает Рой Насекомых, которые замедляют указанное существо (Скорость -5)</t>
  </si>
  <si>
    <t>Это заклинание призывает Рой Пчел, которые жалят и замедляют указанное существо (2-4 ПВ, Скорость -5)</t>
  </si>
  <si>
    <t>Зменить в благословлении всевышнего бога Велориена бонус +4 Ловкости на +2 Интеллекта и Ловкости</t>
  </si>
  <si>
    <t>Заклинатель магически перемещается в выбранный пустой квадрат в радиусе 40 клеток.</t>
  </si>
  <si>
    <t>Ближайший ко входу Механизированный Арахнид в подвале дома Уиллоусби в Таранте не имел флага "механический", что позволяло применять на него магию и предметы, которые не должны работать.</t>
  </si>
  <si>
    <t>ПЭ:8(-8) Атакующему (Тратит 1 батарею)</t>
  </si>
  <si>
    <t>Увеличить технологическую склонность Панацеи к Гербологии до 95</t>
  </si>
  <si>
    <t>Увеличить технологическую склонность Ружья Вендигрота к Огнестрельному Оружию с 70 до 85</t>
  </si>
  <si>
    <t>Уменьшить технологическую склонность Активатора Ловушек к Механике c 50 до 25</t>
  </si>
  <si>
    <t>Увеличить технологическую склонность Шумовой Приманки к Механике с 70 до 80</t>
  </si>
  <si>
    <t>Увеличить технологическую склонность Механической Приманки к Механике с 70 до 85</t>
  </si>
  <si>
    <t>Увеличить технологическую склонность Механического Фонаря к Механике с 80 до 85</t>
  </si>
  <si>
    <t>ПЭ:3(+5) Атакующему, Тратит 1(+1) энергии</t>
  </si>
  <si>
    <t>Оказалось что Броня Железного Клана сделана на основе прототипа Машинной Брони, поэтому в результате добавления бонуса силы последней, первая тоже получила этот бонус (ошибка мода)</t>
  </si>
  <si>
    <t>Удалить штраф на точность попадания при использовании магического или технического оружия против врага противоположной склонности</t>
  </si>
  <si>
    <t>Фамильный Меч Ториана Кела</t>
  </si>
  <si>
    <t>10-25(+10)</t>
  </si>
  <si>
    <t>Меч Бальтара</t>
  </si>
  <si>
    <t>Точность +5(+15)</t>
  </si>
  <si>
    <t>Кинжал Ведьмы</t>
  </si>
  <si>
    <t>Точность (+15), Дальность (+1), Крит (+10%)</t>
  </si>
  <si>
    <t>Точность (+10), Дальность (+10), Крит (+10%)</t>
  </si>
  <si>
    <t>СЛ 10(-5)</t>
  </si>
  <si>
    <t>СЛ 8(+5)</t>
  </si>
  <si>
    <t>10(+20)</t>
  </si>
  <si>
    <t>Фамильный Меч Ториан Кела</t>
  </si>
  <si>
    <t>10(+5)</t>
  </si>
  <si>
    <t>Точность +10(+21), Крит (+30%)</t>
  </si>
  <si>
    <t>Точность +10(+20), Крит (+20%)</t>
  </si>
  <si>
    <t>Точность +20, Крит +10%</t>
  </si>
  <si>
    <t>В выводе расхода маны на поддержание заклинания теперь всегда указывается количество секунд за которое мана тратится</t>
  </si>
  <si>
    <t>Добавить возможность указать в файле "interface.mes" арт школы магии для привязанных к оружию заклинаний с номерами более 79</t>
  </si>
  <si>
    <t>Убрать технологическую склонность Кольчужных Перчаток</t>
  </si>
  <si>
    <t>Убрать технологическую склонность Военных Кольчужных Перчаток</t>
  </si>
  <si>
    <t>Добавить в один из сундуков подземелья Руин Вендигрота 150 единиц Топлива и Большую Элитную Машинную Броню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</si>
</sst>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11"/>
      <color theme="0" tint="-0.34998626667073579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800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49" fontId="0" fillId="0" borderId="0" xfId="0" applyNumberFormat="1" applyFill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0" fillId="0" borderId="0" xfId="0" applyNumberFormat="1" applyFill="1"/>
    <xf numFmtId="1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/>
    <xf numFmtId="49" fontId="1" fillId="2" borderId="2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Fill="1"/>
    <xf numFmtId="1" fontId="0" fillId="0" borderId="0" xfId="0" applyNumberFormat="1" applyFill="1"/>
    <xf numFmtId="49" fontId="1" fillId="2" borderId="5" xfId="0" applyNumberFormat="1" applyFont="1" applyFill="1" applyBorder="1" applyAlignment="1">
      <alignment horizontal="center"/>
    </xf>
    <xf numFmtId="49" fontId="0" fillId="0" borderId="7" xfId="0" applyNumberFormat="1" applyFill="1" applyBorder="1"/>
    <xf numFmtId="49" fontId="0" fillId="0" borderId="0" xfId="0" applyNumberFormat="1" applyFill="1" applyBorder="1"/>
    <xf numFmtId="0" fontId="0" fillId="0" borderId="0" xfId="0" applyNumberFormat="1" applyBorder="1"/>
    <xf numFmtId="9" fontId="0" fillId="0" borderId="0" xfId="0" applyNumberFormat="1" applyAlignment="1">
      <alignment horizontal="left"/>
    </xf>
    <xf numFmtId="49" fontId="0" fillId="4" borderId="0" xfId="0" applyNumberFormat="1" applyFill="1"/>
    <xf numFmtId="1" fontId="0" fillId="4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0" fillId="4" borderId="0" xfId="0" applyNumberFormat="1" applyFill="1" applyAlignment="1">
      <alignment horizontal="left"/>
    </xf>
    <xf numFmtId="0" fontId="0" fillId="4" borderId="0" xfId="0" applyFill="1"/>
    <xf numFmtId="9" fontId="0" fillId="4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49" fontId="0" fillId="4" borderId="6" xfId="0" applyNumberFormat="1" applyFill="1" applyBorder="1"/>
    <xf numFmtId="49" fontId="0" fillId="0" borderId="0" xfId="0" applyNumberFormat="1" applyAlignment="1"/>
    <xf numFmtId="0" fontId="0" fillId="3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9" fontId="0" fillId="0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  <xf numFmtId="49" fontId="0" fillId="3" borderId="10" xfId="0" applyNumberFormat="1" applyFill="1" applyBorder="1"/>
    <xf numFmtId="49" fontId="0" fillId="0" borderId="11" xfId="0" applyNumberFormat="1" applyBorder="1"/>
    <xf numFmtId="49" fontId="0" fillId="0" borderId="9" xfId="0" applyNumberFormat="1" applyFill="1" applyBorder="1"/>
    <xf numFmtId="0" fontId="4" fillId="0" borderId="0" xfId="0" applyFont="1"/>
    <xf numFmtId="49" fontId="1" fillId="0" borderId="0" xfId="0" applyNumberFormat="1" applyFont="1" applyFill="1" applyBorder="1" applyAlignment="1">
      <alignment horizontal="center"/>
    </xf>
    <xf numFmtId="49" fontId="0" fillId="5" borderId="0" xfId="0" applyNumberFormat="1" applyFill="1"/>
    <xf numFmtId="49" fontId="0" fillId="5" borderId="0" xfId="0" applyNumberFormat="1" applyFill="1" applyAlignment="1">
      <alignment horizontal="left"/>
    </xf>
    <xf numFmtId="1" fontId="0" fillId="5" borderId="0" xfId="0" applyNumberFormat="1" applyFill="1" applyAlignment="1">
      <alignment horizontal="left"/>
    </xf>
    <xf numFmtId="49" fontId="0" fillId="5" borderId="8" xfId="0" applyNumberFormat="1" applyFill="1" applyBorder="1"/>
    <xf numFmtId="49" fontId="2" fillId="5" borderId="0" xfId="0" applyNumberFormat="1" applyFont="1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49" fontId="4" fillId="0" borderId="0" xfId="0" applyNumberFormat="1" applyFont="1"/>
    <xf numFmtId="49" fontId="1" fillId="2" borderId="12" xfId="0" applyNumberFormat="1" applyFont="1" applyFill="1" applyBorder="1" applyAlignment="1">
      <alignment horizontal="center"/>
    </xf>
    <xf numFmtId="0" fontId="0" fillId="4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8001"/>
      <color rgb="FFFF6600"/>
      <color rgb="FFFF9933"/>
      <color rgb="FF9900CC"/>
      <color rgb="FF808080"/>
      <color rgb="FFCC00CC"/>
      <color rgb="FF990099"/>
      <color rgb="FFFF9900"/>
      <color rgb="FFFF7F7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4"/>
  <sheetViews>
    <sheetView tabSelected="1" workbookViewId="0">
      <pane ySplit="1" topLeftCell="A2" activePane="bottomLeft" state="frozen"/>
      <selection pane="bottomLeft" activeCell="P3" sqref="P3:Q5"/>
    </sheetView>
  </sheetViews>
  <sheetFormatPr defaultRowHeight="15"/>
  <cols>
    <col min="1" max="1" width="31.42578125" style="1" customWidth="1"/>
    <col min="2" max="2" width="12.85546875" style="1" customWidth="1"/>
    <col min="3" max="4" width="11.42578125" style="1" customWidth="1"/>
    <col min="5" max="5" width="10.7109375" style="1" customWidth="1"/>
    <col min="6" max="6" width="10" style="3" customWidth="1"/>
    <col min="7" max="11" width="9.7109375" style="4" customWidth="1"/>
    <col min="12" max="12" width="46.42578125" style="4" customWidth="1"/>
    <col min="13" max="14" width="10" style="5" customWidth="1"/>
    <col min="15" max="15" width="9.140625" style="2" customWidth="1"/>
    <col min="16" max="16" width="9.140625" style="2"/>
    <col min="17" max="17" width="15.7109375" style="2" customWidth="1"/>
    <col min="18" max="18" width="9.140625" style="2" customWidth="1"/>
    <col min="19" max="16384" width="9.140625" style="2"/>
  </cols>
  <sheetData>
    <row r="1" spans="1:21" s="17" customFormat="1" ht="15.75" thickBot="1">
      <c r="A1" s="7" t="s">
        <v>34</v>
      </c>
      <c r="B1" s="21" t="s">
        <v>1217</v>
      </c>
      <c r="C1" s="21" t="s">
        <v>200</v>
      </c>
      <c r="D1" s="21" t="s">
        <v>85</v>
      </c>
      <c r="E1" s="21" t="s">
        <v>207</v>
      </c>
      <c r="F1" s="8" t="s">
        <v>0</v>
      </c>
      <c r="G1" s="14" t="s">
        <v>1</v>
      </c>
      <c r="H1" s="14" t="s">
        <v>2</v>
      </c>
      <c r="I1" s="14" t="s">
        <v>3</v>
      </c>
      <c r="J1" s="14" t="s">
        <v>5</v>
      </c>
      <c r="K1" s="14" t="s">
        <v>4</v>
      </c>
      <c r="L1" s="14" t="s">
        <v>41</v>
      </c>
      <c r="M1" s="15" t="s">
        <v>52</v>
      </c>
      <c r="N1" s="16" t="s">
        <v>53</v>
      </c>
    </row>
    <row r="2" spans="1:21" ht="15.75" thickBot="1">
      <c r="A2" s="10" t="s">
        <v>778</v>
      </c>
      <c r="B2" s="10" t="s">
        <v>1218</v>
      </c>
      <c r="C2" s="10" t="s">
        <v>779</v>
      </c>
      <c r="D2" s="10" t="s">
        <v>248</v>
      </c>
      <c r="E2" s="10" t="s">
        <v>332</v>
      </c>
      <c r="F2" s="11">
        <v>12</v>
      </c>
      <c r="G2" s="6" t="s">
        <v>1763</v>
      </c>
      <c r="H2" s="6" t="s">
        <v>307</v>
      </c>
      <c r="I2" s="6" t="s">
        <v>49</v>
      </c>
      <c r="J2" s="6" t="s">
        <v>49</v>
      </c>
      <c r="K2" s="6" t="s">
        <v>49</v>
      </c>
      <c r="L2" s="6"/>
      <c r="M2" s="6">
        <f t="shared" ref="M2:M47" si="0">IFERROR(LEFT($F2,FIND("+",$F2)-2) + MID($F2, FIND("+",$F2)+1, LEN($F2)-FIND("+",$F2)-1), IFERROR(IF(LEFT($F2,FIND("-",$F2)-2) - MID($F2, FIND("-",$F2)+1, LEN($F2)-FIND("-",$F2)-1) &gt; 0,LEFT($F2,FIND("-",$F2)-2) - MID($F2, FIND("-",$F2)+1, LEN($F2)-FIND("-",$F2)-1),1), $F2)) * (LEFT($G2,FIND("-",$G2)-1) + IFERROR(MID($G2,FIND("-",$G2)+1,FIND("+",$G2)-FIND("-",$G2)-2)+2*MID($G2,FIND("+",$G2)+1,LEN($G2)-FIND("+",$G2)-1),RIGHT($G2, LEN($G2) - FIND("-",$G2))) + LEFT($I2,FIND("-",$I2)-1) + IFERROR(MID($I2,FIND("-",$I2)+1,FIND("+",$I2)-FIND("-",$I2)-2)+2*MID($I2,FIND("+",$I2)+1,LEN($I2)-FIND("+",$I2)-1),RIGHT($I2, LEN($I2) - FIND("-",$I2))) + LEFT($J2,FIND("-",$J2)-1) + IFERROR(MID($J2,FIND("-",$J2)+1,FIND("+",$J2)-FIND("-",$J2)-2)+2*MID($J2,FIND("+",$J2)+1,LEN($J2)-FIND("+",$J2)-1),RIGHT($J2, LEN($J2) - FIND("-",$J2))) + LEFT($K2,FIND("-",$K2)-1) + IFERROR(MID($K2,FIND("-",$K2)+1,FIND("+",$K2)-FIND("-",$K2)-2)+2*MID($K2,FIND("+",$K2)+1,LEN($K2)-FIND("+",$K2)-1),RIGHT($K2, LEN($K2) - FIND("-",$K2)))) / 2</f>
        <v>66</v>
      </c>
      <c r="N2" s="6">
        <f t="shared" ref="N2:N47" si="1">IFERROR(LEFT($F2,FIND("+",$F2)-2) + MID($F2, FIND("+",$F2)+1, LEN($F2)-FIND("+",$F2)-1), IFERROR(IF(LEFT($F2,FIND("-",$F2)-2) - MID($F2, FIND("-",$F2)+1, LEN($F2)-FIND("-",$F2)-1) &gt; 0,LEFT($F2,FIND("-",$F2)-2) - MID($F2, FIND("-",$F2)+1, LEN($F2)-FIND("-",$F2)-1),1), $F2)) * (LEFT($H2,FIND("-",$H2)-1)+IFERROR(MID($H2,FIND("-",$H2)+1,FIND("+",$H2)-FIND("-",$H2)-2)+2*MID($H2,FIND("+",$H2)+1,LEN($H2)-FIND("+",$H2)-1),RIGHT($H2, LEN($H2) - FIND("-",$H2)))) / 2</f>
        <v>18</v>
      </c>
      <c r="O2" s="6"/>
      <c r="P2" s="13"/>
      <c r="Q2" s="13"/>
      <c r="R2" s="13"/>
    </row>
    <row r="3" spans="1:21">
      <c r="A3" s="26" t="s">
        <v>778</v>
      </c>
      <c r="B3" s="26" t="s">
        <v>1218</v>
      </c>
      <c r="C3" s="26" t="s">
        <v>222</v>
      </c>
      <c r="D3" s="26" t="s">
        <v>2267</v>
      </c>
      <c r="E3" s="26" t="s">
        <v>332</v>
      </c>
      <c r="F3" s="27" t="s">
        <v>2412</v>
      </c>
      <c r="G3" s="28" t="s">
        <v>2407</v>
      </c>
      <c r="H3" s="28" t="s">
        <v>2408</v>
      </c>
      <c r="I3" s="28" t="s">
        <v>49</v>
      </c>
      <c r="J3" s="28" t="s">
        <v>49</v>
      </c>
      <c r="K3" s="28" t="s">
        <v>49</v>
      </c>
      <c r="L3" s="28" t="s">
        <v>772</v>
      </c>
      <c r="M3" s="28">
        <f t="shared" si="0"/>
        <v>78</v>
      </c>
      <c r="N3" s="28">
        <f t="shared" si="1"/>
        <v>36</v>
      </c>
      <c r="O3" s="6"/>
      <c r="P3" s="35"/>
      <c r="Q3" s="22" t="s">
        <v>72</v>
      </c>
    </row>
    <row r="4" spans="1:21">
      <c r="A4" s="10" t="s">
        <v>766</v>
      </c>
      <c r="B4" s="10" t="s">
        <v>1218</v>
      </c>
      <c r="C4" s="10" t="s">
        <v>780</v>
      </c>
      <c r="D4" s="10" t="s">
        <v>248</v>
      </c>
      <c r="E4" s="10" t="s">
        <v>332</v>
      </c>
      <c r="F4" s="11">
        <v>12</v>
      </c>
      <c r="G4" s="6" t="s">
        <v>1780</v>
      </c>
      <c r="H4" s="6" t="s">
        <v>1757</v>
      </c>
      <c r="I4" s="6" t="s">
        <v>49</v>
      </c>
      <c r="J4" s="6" t="s">
        <v>49</v>
      </c>
      <c r="K4" s="6" t="s">
        <v>49</v>
      </c>
      <c r="L4" s="6" t="s">
        <v>774</v>
      </c>
      <c r="M4" s="6">
        <f t="shared" si="0"/>
        <v>102</v>
      </c>
      <c r="N4" s="6">
        <f t="shared" si="1"/>
        <v>30</v>
      </c>
      <c r="O4" s="6"/>
      <c r="P4" s="43"/>
      <c r="Q4" s="44" t="s">
        <v>73</v>
      </c>
    </row>
    <row r="5" spans="1:21" ht="15.75" thickBot="1">
      <c r="A5" s="26" t="s">
        <v>766</v>
      </c>
      <c r="B5" s="26" t="s">
        <v>1218</v>
      </c>
      <c r="C5" s="26" t="s">
        <v>373</v>
      </c>
      <c r="D5" s="26" t="s">
        <v>2268</v>
      </c>
      <c r="E5" s="26" t="s">
        <v>332</v>
      </c>
      <c r="F5" s="27" t="s">
        <v>2413</v>
      </c>
      <c r="G5" s="28" t="s">
        <v>1794</v>
      </c>
      <c r="H5" s="28" t="s">
        <v>2405</v>
      </c>
      <c r="I5" s="28" t="s">
        <v>49</v>
      </c>
      <c r="J5" s="28" t="s">
        <v>49</v>
      </c>
      <c r="K5" s="28" t="s">
        <v>49</v>
      </c>
      <c r="L5" s="28" t="s">
        <v>773</v>
      </c>
      <c r="M5" s="28">
        <f t="shared" si="0"/>
        <v>123.5</v>
      </c>
      <c r="N5" s="28">
        <f t="shared" si="1"/>
        <v>52</v>
      </c>
      <c r="O5" s="6"/>
      <c r="P5" s="51"/>
      <c r="Q5" s="45" t="s">
        <v>929</v>
      </c>
    </row>
    <row r="6" spans="1:21">
      <c r="A6" s="10" t="s">
        <v>767</v>
      </c>
      <c r="B6" s="10" t="s">
        <v>1218</v>
      </c>
      <c r="C6" s="10" t="s">
        <v>781</v>
      </c>
      <c r="D6" s="10" t="s">
        <v>248</v>
      </c>
      <c r="E6" s="10" t="s">
        <v>332</v>
      </c>
      <c r="F6" s="11">
        <v>12</v>
      </c>
      <c r="G6" s="6" t="s">
        <v>1781</v>
      </c>
      <c r="H6" s="6" t="s">
        <v>1756</v>
      </c>
      <c r="I6" s="6" t="s">
        <v>49</v>
      </c>
      <c r="J6" s="6" t="s">
        <v>49</v>
      </c>
      <c r="K6" s="6" t="s">
        <v>49</v>
      </c>
      <c r="L6" s="6" t="s">
        <v>772</v>
      </c>
      <c r="M6" s="6">
        <f t="shared" si="0"/>
        <v>138</v>
      </c>
      <c r="N6" s="6">
        <f t="shared" si="1"/>
        <v>42</v>
      </c>
      <c r="O6" s="6"/>
      <c r="P6" s="13"/>
      <c r="Q6" s="13"/>
      <c r="R6" s="13"/>
    </row>
    <row r="7" spans="1:21">
      <c r="A7" s="26" t="s">
        <v>767</v>
      </c>
      <c r="B7" s="26" t="s">
        <v>1218</v>
      </c>
      <c r="C7" s="26" t="s">
        <v>706</v>
      </c>
      <c r="D7" s="26" t="s">
        <v>2269</v>
      </c>
      <c r="E7" s="26" t="s">
        <v>332</v>
      </c>
      <c r="F7" s="27" t="s">
        <v>2414</v>
      </c>
      <c r="G7" s="28" t="s">
        <v>2406</v>
      </c>
      <c r="H7" s="28" t="s">
        <v>2409</v>
      </c>
      <c r="I7" s="28" t="s">
        <v>49</v>
      </c>
      <c r="J7" s="28" t="s">
        <v>49</v>
      </c>
      <c r="K7" s="28" t="s">
        <v>49</v>
      </c>
      <c r="L7" s="28" t="s">
        <v>777</v>
      </c>
      <c r="M7" s="28">
        <f t="shared" si="0"/>
        <v>175</v>
      </c>
      <c r="N7" s="28">
        <f t="shared" si="1"/>
        <v>70</v>
      </c>
      <c r="O7" s="6"/>
      <c r="P7" s="13"/>
      <c r="Q7" s="13"/>
      <c r="R7" s="13"/>
    </row>
    <row r="8" spans="1:21">
      <c r="A8" s="10" t="s">
        <v>768</v>
      </c>
      <c r="B8" s="10" t="s">
        <v>1218</v>
      </c>
      <c r="C8" s="10" t="s">
        <v>782</v>
      </c>
      <c r="D8" s="10" t="s">
        <v>248</v>
      </c>
      <c r="E8" s="10" t="s">
        <v>332</v>
      </c>
      <c r="F8" s="11">
        <v>12</v>
      </c>
      <c r="G8" s="6" t="s">
        <v>2403</v>
      </c>
      <c r="H8" s="6" t="s">
        <v>1758</v>
      </c>
      <c r="I8" s="6" t="s">
        <v>49</v>
      </c>
      <c r="J8" s="6" t="s">
        <v>49</v>
      </c>
      <c r="K8" s="6" t="s">
        <v>49</v>
      </c>
      <c r="L8" s="6" t="s">
        <v>773</v>
      </c>
      <c r="M8" s="6">
        <f t="shared" si="0"/>
        <v>186</v>
      </c>
      <c r="N8" s="6">
        <f t="shared" si="1"/>
        <v>66</v>
      </c>
      <c r="O8" s="6"/>
      <c r="P8" s="13"/>
      <c r="Q8" s="13"/>
      <c r="R8" s="13"/>
    </row>
    <row r="9" spans="1:21">
      <c r="A9" s="26" t="s">
        <v>2283</v>
      </c>
      <c r="B9" s="26" t="s">
        <v>1218</v>
      </c>
      <c r="C9" s="26" t="s">
        <v>610</v>
      </c>
      <c r="D9" s="26" t="s">
        <v>2270</v>
      </c>
      <c r="E9" s="26" t="s">
        <v>332</v>
      </c>
      <c r="F9" s="27" t="s">
        <v>2415</v>
      </c>
      <c r="G9" s="28" t="s">
        <v>2403</v>
      </c>
      <c r="H9" s="28" t="s">
        <v>2404</v>
      </c>
      <c r="I9" s="28" t="s">
        <v>49</v>
      </c>
      <c r="J9" s="28" t="s">
        <v>49</v>
      </c>
      <c r="K9" s="28" t="s">
        <v>49</v>
      </c>
      <c r="L9" s="28" t="s">
        <v>904</v>
      </c>
      <c r="M9" s="28">
        <f t="shared" si="0"/>
        <v>232.5</v>
      </c>
      <c r="N9" s="28">
        <f t="shared" si="1"/>
        <v>90</v>
      </c>
      <c r="O9" s="6"/>
      <c r="P9" s="13"/>
      <c r="Q9" s="13"/>
      <c r="R9" s="13"/>
    </row>
    <row r="10" spans="1:21">
      <c r="A10" s="1" t="s">
        <v>1206</v>
      </c>
      <c r="B10" s="1" t="s">
        <v>1218</v>
      </c>
      <c r="C10" s="1" t="s">
        <v>154</v>
      </c>
      <c r="D10" s="1" t="s">
        <v>332</v>
      </c>
      <c r="E10" s="1" t="s">
        <v>332</v>
      </c>
      <c r="F10" s="3">
        <v>6</v>
      </c>
      <c r="G10" s="4" t="s">
        <v>193</v>
      </c>
      <c r="H10" s="4" t="s">
        <v>49</v>
      </c>
      <c r="I10" s="4" t="s">
        <v>49</v>
      </c>
      <c r="J10" s="4" t="s">
        <v>49</v>
      </c>
      <c r="K10" s="4" t="s">
        <v>49</v>
      </c>
      <c r="M10" s="6">
        <f t="shared" si="0"/>
        <v>24</v>
      </c>
      <c r="N10" s="6">
        <f t="shared" si="1"/>
        <v>0</v>
      </c>
    </row>
    <row r="11" spans="1:21">
      <c r="A11" s="26" t="s">
        <v>1207</v>
      </c>
      <c r="B11" s="26" t="s">
        <v>1218</v>
      </c>
      <c r="C11" s="26" t="s">
        <v>1205</v>
      </c>
      <c r="D11" s="26" t="s">
        <v>248</v>
      </c>
      <c r="E11" s="26" t="s">
        <v>332</v>
      </c>
      <c r="F11" s="27">
        <v>11</v>
      </c>
      <c r="G11" s="28" t="s">
        <v>100</v>
      </c>
      <c r="H11" s="28" t="s">
        <v>18</v>
      </c>
      <c r="I11" s="28" t="s">
        <v>49</v>
      </c>
      <c r="J11" s="28" t="s">
        <v>49</v>
      </c>
      <c r="K11" s="28" t="s">
        <v>49</v>
      </c>
      <c r="L11" s="28" t="s">
        <v>1210</v>
      </c>
      <c r="M11" s="28">
        <f t="shared" si="0"/>
        <v>33</v>
      </c>
      <c r="N11" s="28">
        <f t="shared" si="1"/>
        <v>22</v>
      </c>
      <c r="O11" s="6"/>
      <c r="P11" s="13"/>
      <c r="Q11" s="13"/>
    </row>
    <row r="12" spans="1:21">
      <c r="A12" s="1" t="s">
        <v>2539</v>
      </c>
      <c r="B12" s="1" t="s">
        <v>1218</v>
      </c>
      <c r="C12" s="1" t="s">
        <v>332</v>
      </c>
      <c r="D12" s="1" t="s">
        <v>248</v>
      </c>
      <c r="E12" s="1" t="s">
        <v>332</v>
      </c>
      <c r="F12" s="3">
        <v>10</v>
      </c>
      <c r="G12" s="4" t="s">
        <v>20</v>
      </c>
      <c r="H12" s="4" t="s">
        <v>307</v>
      </c>
      <c r="I12" s="4" t="s">
        <v>49</v>
      </c>
      <c r="J12" s="4" t="s">
        <v>49</v>
      </c>
      <c r="K12" s="4" t="s">
        <v>49</v>
      </c>
      <c r="L12" s="4" t="s">
        <v>2540</v>
      </c>
      <c r="M12" s="6">
        <f>IFERROR(LEFT($F12,FIND("+",$F12)-2) + MID($F12, FIND("+",$F12)+1, LEN($F12)-FIND("+",$F12)-1), IFERROR(IF(LEFT($F12,FIND("-",$F12)-2) - MID($F12, FIND("-",$F12)+1, LEN($F12)-FIND("-",$F12)-1) &gt; 0,LEFT($F12,FIND("-",$F12)-2) - MID($F12, FIND("-",$F12)+1, LEN($F12)-FIND("-",$F12)-1),1), $F12)) * (LEFT($G12,FIND("-",$G12)-1) + IFERROR(MID($G12,FIND("-",$G12)+1,FIND("+",$G12)-FIND("-",$G12)-2)+2*MID($G12,FIND("+",$G12)+1,LEN($G12)-FIND("+",$G12)-1),RIGHT($G12, LEN($G12) - FIND("-",$G12))) + LEFT($I12,FIND("-",$I12)-1) + IFERROR(MID($I12,FIND("-",$I12)+1,FIND("+",$I12)-FIND("-",$I12)-2)+2*MID($I12,FIND("+",$I12)+1,LEN($I12)-FIND("+",$I12)-1),RIGHT($I12, LEN($I12) - FIND("-",$I12))) + LEFT($J12,FIND("-",$J12)-1) + IFERROR(MID($J12,FIND("-",$J12)+1,FIND("+",$J12)-FIND("-",$J12)-2)+2*MID($J12,FIND("+",$J12)+1,LEN($J12)-FIND("+",$J12)-1),RIGHT($J12, LEN($J12) - FIND("-",$J12))) + LEFT($K12,FIND("-",$K12)-1) + IFERROR(MID($K12,FIND("-",$K12)+1,FIND("+",$K12)-FIND("-",$K12)-2)+2*MID($K12,FIND("+",$K12)+1,LEN($K12)-FIND("+",$K12)-1),RIGHT($K12, LEN($K12) - FIND("-",$K12)))) / 2</f>
        <v>25</v>
      </c>
      <c r="N12" s="6">
        <f>IFERROR(LEFT($F12,FIND("+",$F12)-2) + MID($F12, FIND("+",$F12)+1, LEN($F12)-FIND("+",$F12)-1), IFERROR(IF(LEFT($F12,FIND("-",$F12)-2) - MID($F12, FIND("-",$F12)+1, LEN($F12)-FIND("-",$F12)-1) &gt; 0,LEFT($F12,FIND("-",$F12)-2) - MID($F12, FIND("-",$F12)+1, LEN($F12)-FIND("-",$F12)-1),1), $F12)) * (LEFT($H12,FIND("-",$H12)-1)+IFERROR(MID($H12,FIND("-",$H12)+1,FIND("+",$H12)-FIND("-",$H12)-2)+2*MID($H12,FIND("+",$H12)+1,LEN($H12)-FIND("+",$H12)-1),RIGHT($H12, LEN($H12) - FIND("-",$H12)))) / 2</f>
        <v>15</v>
      </c>
    </row>
    <row r="13" spans="1:21">
      <c r="A13" s="26" t="s">
        <v>2539</v>
      </c>
      <c r="B13" s="26" t="s">
        <v>1218</v>
      </c>
      <c r="C13" s="26" t="s">
        <v>529</v>
      </c>
      <c r="D13" s="26" t="s">
        <v>248</v>
      </c>
      <c r="E13" s="26" t="s">
        <v>332</v>
      </c>
      <c r="F13" s="27">
        <v>11</v>
      </c>
      <c r="G13" s="28" t="s">
        <v>20</v>
      </c>
      <c r="H13" s="28" t="s">
        <v>307</v>
      </c>
      <c r="I13" s="28" t="s">
        <v>49</v>
      </c>
      <c r="J13" s="28" t="s">
        <v>49</v>
      </c>
      <c r="K13" s="28" t="s">
        <v>49</v>
      </c>
      <c r="L13" s="28" t="s">
        <v>2541</v>
      </c>
      <c r="M13" s="28">
        <f>IFERROR(LEFT($F13,FIND("+",$F13)-2) + MID($F13, FIND("+",$F13)+1, LEN($F13)-FIND("+",$F13)-1), IFERROR(IF(LEFT($F13,FIND("-",$F13)-2) - MID($F13, FIND("-",$F13)+1, LEN($F13)-FIND("-",$F13)-1) &gt; 0,LEFT($F13,FIND("-",$F13)-2) - MID($F13, FIND("-",$F13)+1, LEN($F13)-FIND("-",$F13)-1),1), $F13)) * (LEFT($G13,FIND("-",$G13)-1) + IFERROR(MID($G13,FIND("-",$G13)+1,FIND("+",$G13)-FIND("-",$G13)-2)+2*MID($G13,FIND("+",$G13)+1,LEN($G13)-FIND("+",$G13)-1),RIGHT($G13, LEN($G13) - FIND("-",$G13))) + LEFT($I13,FIND("-",$I13)-1) + IFERROR(MID($I13,FIND("-",$I13)+1,FIND("+",$I13)-FIND("-",$I13)-2)+2*MID($I13,FIND("+",$I13)+1,LEN($I13)-FIND("+",$I13)-1),RIGHT($I13, LEN($I13) - FIND("-",$I13))) + LEFT($J13,FIND("-",$J13)-1) + IFERROR(MID($J13,FIND("-",$J13)+1,FIND("+",$J13)-FIND("-",$J13)-2)+2*MID($J13,FIND("+",$J13)+1,LEN($J13)-FIND("+",$J13)-1),RIGHT($J13, LEN($J13) - FIND("-",$J13))) + LEFT($K13,FIND("-",$K13)-1) + IFERROR(MID($K13,FIND("-",$K13)+1,FIND("+",$K13)-FIND("-",$K13)-2)+2*MID($K13,FIND("+",$K13)+1,LEN($K13)-FIND("+",$K13)-1),RIGHT($K13, LEN($K13) - FIND("-",$K13)))) / 2</f>
        <v>27.5</v>
      </c>
      <c r="N13" s="28">
        <f>IFERROR(LEFT($F13,FIND("+",$F13)-2) + MID($F13, FIND("+",$F13)+1, LEN($F13)-FIND("+",$F13)-1), IFERROR(IF(LEFT($F13,FIND("-",$F13)-2) - MID($F13, FIND("-",$F13)+1, LEN($F13)-FIND("-",$F13)-1) &gt; 0,LEFT($F13,FIND("-",$F13)-2) - MID($F13, FIND("-",$F13)+1, LEN($F13)-FIND("-",$F13)-1),1), $F13)) * (LEFT($H13,FIND("-",$H13)-1)+IFERROR(MID($H13,FIND("-",$H13)+1,FIND("+",$H13)-FIND("-",$H13)-2)+2*MID($H13,FIND("+",$H13)+1,LEN($H13)-FIND("+",$H13)-1),RIGHT($H13, LEN($H13) - FIND("-",$H13)))) / 2</f>
        <v>16.5</v>
      </c>
    </row>
    <row r="14" spans="1:21">
      <c r="A14" s="1" t="s">
        <v>769</v>
      </c>
      <c r="B14" s="1" t="s">
        <v>1219</v>
      </c>
      <c r="C14" s="1" t="s">
        <v>291</v>
      </c>
      <c r="D14" s="1" t="s">
        <v>248</v>
      </c>
      <c r="E14" s="1" t="s">
        <v>458</v>
      </c>
      <c r="F14" s="3">
        <v>12</v>
      </c>
      <c r="G14" s="4" t="s">
        <v>20</v>
      </c>
      <c r="H14" s="4" t="s">
        <v>307</v>
      </c>
      <c r="I14" s="4" t="s">
        <v>49</v>
      </c>
      <c r="J14" s="4" t="s">
        <v>49</v>
      </c>
      <c r="K14" s="4" t="s">
        <v>49</v>
      </c>
      <c r="L14" s="4" t="s">
        <v>772</v>
      </c>
      <c r="M14" s="6">
        <f t="shared" si="0"/>
        <v>30</v>
      </c>
      <c r="N14" s="6">
        <f t="shared" si="1"/>
        <v>18</v>
      </c>
    </row>
    <row r="15" spans="1:21">
      <c r="A15" s="26" t="s">
        <v>1399</v>
      </c>
      <c r="B15" s="26" t="s">
        <v>1218</v>
      </c>
      <c r="C15" s="26" t="s">
        <v>222</v>
      </c>
      <c r="D15" s="26" t="s">
        <v>248</v>
      </c>
      <c r="E15" s="26" t="s">
        <v>332</v>
      </c>
      <c r="F15" s="27">
        <v>12</v>
      </c>
      <c r="G15" s="28" t="s">
        <v>775</v>
      </c>
      <c r="H15" s="28" t="s">
        <v>18</v>
      </c>
      <c r="I15" s="28" t="s">
        <v>49</v>
      </c>
      <c r="J15" s="28" t="s">
        <v>49</v>
      </c>
      <c r="K15" s="28" t="s">
        <v>1832</v>
      </c>
      <c r="L15" s="28"/>
      <c r="M15" s="28">
        <f t="shared" si="0"/>
        <v>132</v>
      </c>
      <c r="N15" s="28">
        <f t="shared" si="1"/>
        <v>24</v>
      </c>
      <c r="O15" s="6"/>
      <c r="P15" s="13"/>
      <c r="Q15" s="13"/>
      <c r="R15" s="13"/>
      <c r="S15" s="13"/>
      <c r="T15" s="13"/>
      <c r="U15" s="13"/>
    </row>
    <row r="16" spans="1:21">
      <c r="A16" s="1" t="s">
        <v>771</v>
      </c>
      <c r="B16" s="1" t="s">
        <v>1218</v>
      </c>
      <c r="C16" s="1" t="s">
        <v>291</v>
      </c>
      <c r="D16" s="1" t="s">
        <v>248</v>
      </c>
      <c r="E16" s="1" t="s">
        <v>458</v>
      </c>
      <c r="F16" s="3" t="s">
        <v>1852</v>
      </c>
      <c r="G16" s="4" t="s">
        <v>20</v>
      </c>
      <c r="H16" s="4" t="s">
        <v>307</v>
      </c>
      <c r="I16" s="4" t="s">
        <v>49</v>
      </c>
      <c r="J16" s="4" t="s">
        <v>49</v>
      </c>
      <c r="K16" s="4" t="s">
        <v>49</v>
      </c>
      <c r="M16" s="6">
        <f t="shared" si="0"/>
        <v>50</v>
      </c>
      <c r="N16" s="6">
        <f t="shared" si="1"/>
        <v>30</v>
      </c>
    </row>
    <row r="17" spans="1:21">
      <c r="A17" s="26" t="s">
        <v>771</v>
      </c>
      <c r="B17" s="26" t="s">
        <v>1218</v>
      </c>
      <c r="C17" s="26" t="s">
        <v>570</v>
      </c>
      <c r="D17" s="26" t="s">
        <v>248</v>
      </c>
      <c r="E17" s="26" t="s">
        <v>1203</v>
      </c>
      <c r="F17" s="27" t="s">
        <v>492</v>
      </c>
      <c r="G17" s="28" t="s">
        <v>775</v>
      </c>
      <c r="H17" s="28" t="s">
        <v>18</v>
      </c>
      <c r="I17" s="28" t="s">
        <v>49</v>
      </c>
      <c r="J17" s="28" t="s">
        <v>49</v>
      </c>
      <c r="K17" s="28" t="s">
        <v>49</v>
      </c>
      <c r="L17" s="28"/>
      <c r="M17" s="28">
        <f t="shared" si="0"/>
        <v>60</v>
      </c>
      <c r="N17" s="28">
        <f t="shared" si="1"/>
        <v>40</v>
      </c>
      <c r="O17" s="6"/>
      <c r="P17" s="13"/>
      <c r="Q17" s="13"/>
      <c r="R17" s="13"/>
      <c r="S17" s="13"/>
      <c r="T17" s="13"/>
      <c r="U17" s="13"/>
    </row>
    <row r="18" spans="1:21">
      <c r="A18" s="1" t="s">
        <v>2434</v>
      </c>
      <c r="B18" s="1" t="s">
        <v>1218</v>
      </c>
      <c r="C18" s="1" t="s">
        <v>332</v>
      </c>
      <c r="D18" s="1" t="s">
        <v>248</v>
      </c>
      <c r="E18" s="1" t="s">
        <v>332</v>
      </c>
      <c r="F18" s="3">
        <v>10</v>
      </c>
      <c r="G18" s="4" t="s">
        <v>20</v>
      </c>
      <c r="H18" s="4" t="s">
        <v>307</v>
      </c>
      <c r="I18" s="4" t="s">
        <v>49</v>
      </c>
      <c r="J18" s="4" t="s">
        <v>49</v>
      </c>
      <c r="K18" s="4" t="s">
        <v>49</v>
      </c>
      <c r="M18" s="6">
        <f t="shared" si="0"/>
        <v>25</v>
      </c>
      <c r="N18" s="6">
        <f t="shared" si="1"/>
        <v>15</v>
      </c>
    </row>
    <row r="19" spans="1:21">
      <c r="A19" s="26" t="s">
        <v>2434</v>
      </c>
      <c r="B19" s="26" t="s">
        <v>1218</v>
      </c>
      <c r="C19" s="26" t="s">
        <v>575</v>
      </c>
      <c r="D19" s="26" t="s">
        <v>248</v>
      </c>
      <c r="E19" s="26" t="s">
        <v>332</v>
      </c>
      <c r="F19" s="27">
        <v>11</v>
      </c>
      <c r="G19" s="28" t="s">
        <v>1795</v>
      </c>
      <c r="H19" s="28" t="s">
        <v>1758</v>
      </c>
      <c r="I19" s="28" t="s">
        <v>49</v>
      </c>
      <c r="J19" s="28" t="s">
        <v>49</v>
      </c>
      <c r="K19" s="28" t="s">
        <v>49</v>
      </c>
      <c r="L19" s="28" t="s">
        <v>1042</v>
      </c>
      <c r="M19" s="28">
        <f t="shared" si="0"/>
        <v>115.5</v>
      </c>
      <c r="N19" s="28">
        <f t="shared" si="1"/>
        <v>60.5</v>
      </c>
      <c r="O19" s="6"/>
      <c r="P19" s="13"/>
      <c r="Q19" s="13"/>
      <c r="R19" s="13"/>
      <c r="S19" s="13"/>
      <c r="T19" s="13"/>
      <c r="U19" s="13"/>
    </row>
    <row r="20" spans="1:21">
      <c r="A20" s="1" t="s">
        <v>2411</v>
      </c>
      <c r="B20" s="1" t="s">
        <v>1218</v>
      </c>
      <c r="C20" s="1" t="s">
        <v>332</v>
      </c>
      <c r="D20" s="1" t="s">
        <v>248</v>
      </c>
      <c r="E20" s="1" t="s">
        <v>332</v>
      </c>
      <c r="F20" s="3">
        <v>10</v>
      </c>
      <c r="G20" s="4" t="s">
        <v>20</v>
      </c>
      <c r="H20" s="4" t="s">
        <v>307</v>
      </c>
      <c r="I20" s="4" t="s">
        <v>49</v>
      </c>
      <c r="J20" s="4" t="s">
        <v>49</v>
      </c>
      <c r="K20" s="4" t="s">
        <v>49</v>
      </c>
      <c r="M20" s="6">
        <f t="shared" si="0"/>
        <v>25</v>
      </c>
      <c r="N20" s="6">
        <f t="shared" si="1"/>
        <v>15</v>
      </c>
    </row>
    <row r="21" spans="1:21">
      <c r="A21" s="26" t="s">
        <v>2411</v>
      </c>
      <c r="B21" s="26" t="s">
        <v>1218</v>
      </c>
      <c r="C21" s="26" t="s">
        <v>332</v>
      </c>
      <c r="D21" s="26" t="s">
        <v>248</v>
      </c>
      <c r="E21" s="26" t="s">
        <v>332</v>
      </c>
      <c r="F21" s="27">
        <v>11</v>
      </c>
      <c r="G21" s="28" t="s">
        <v>20</v>
      </c>
      <c r="H21" s="28" t="s">
        <v>307</v>
      </c>
      <c r="I21" s="28" t="s">
        <v>49</v>
      </c>
      <c r="J21" s="28" t="s">
        <v>49</v>
      </c>
      <c r="K21" s="28" t="s">
        <v>49</v>
      </c>
      <c r="L21" s="28"/>
      <c r="M21" s="28">
        <f t="shared" si="0"/>
        <v>27.5</v>
      </c>
      <c r="N21" s="28">
        <f t="shared" si="1"/>
        <v>16.5</v>
      </c>
    </row>
    <row r="22" spans="1:21">
      <c r="A22" s="1" t="s">
        <v>1209</v>
      </c>
      <c r="B22" s="1" t="s">
        <v>1218</v>
      </c>
      <c r="C22" s="1" t="s">
        <v>332</v>
      </c>
      <c r="D22" s="1" t="s">
        <v>248</v>
      </c>
      <c r="E22" s="1" t="s">
        <v>359</v>
      </c>
      <c r="F22" s="3">
        <v>12</v>
      </c>
      <c r="G22" s="4" t="s">
        <v>193</v>
      </c>
      <c r="H22" s="4" t="s">
        <v>20</v>
      </c>
      <c r="I22" s="4" t="s">
        <v>49</v>
      </c>
      <c r="J22" s="4" t="s">
        <v>49</v>
      </c>
      <c r="K22" s="4" t="s">
        <v>49</v>
      </c>
      <c r="M22" s="6">
        <f t="shared" si="0"/>
        <v>48</v>
      </c>
      <c r="N22" s="6">
        <f t="shared" si="1"/>
        <v>30</v>
      </c>
    </row>
    <row r="23" spans="1:21">
      <c r="A23" s="26" t="s">
        <v>1209</v>
      </c>
      <c r="B23" s="26" t="s">
        <v>1218</v>
      </c>
      <c r="C23" s="26" t="s">
        <v>379</v>
      </c>
      <c r="D23" s="26" t="s">
        <v>250</v>
      </c>
      <c r="E23" s="26" t="s">
        <v>332</v>
      </c>
      <c r="F23" s="27">
        <v>12</v>
      </c>
      <c r="G23" s="28" t="s">
        <v>193</v>
      </c>
      <c r="H23" s="28" t="s">
        <v>20</v>
      </c>
      <c r="I23" s="28" t="s">
        <v>49</v>
      </c>
      <c r="J23" s="28" t="s">
        <v>49</v>
      </c>
      <c r="K23" s="28" t="s">
        <v>49</v>
      </c>
      <c r="L23" s="28"/>
      <c r="M23" s="28">
        <f t="shared" si="0"/>
        <v>48</v>
      </c>
      <c r="N23" s="28">
        <f t="shared" si="1"/>
        <v>30</v>
      </c>
    </row>
    <row r="24" spans="1:21">
      <c r="A24" s="1" t="s">
        <v>238</v>
      </c>
      <c r="B24" s="1" t="s">
        <v>1218</v>
      </c>
      <c r="C24" s="1" t="s">
        <v>246</v>
      </c>
      <c r="D24" s="1" t="s">
        <v>248</v>
      </c>
      <c r="E24" s="1" t="s">
        <v>332</v>
      </c>
      <c r="F24" s="3">
        <v>10</v>
      </c>
      <c r="G24" s="4" t="s">
        <v>183</v>
      </c>
      <c r="H24" s="4" t="s">
        <v>20</v>
      </c>
      <c r="I24" s="4" t="s">
        <v>49</v>
      </c>
      <c r="J24" s="4" t="s">
        <v>49</v>
      </c>
      <c r="K24" s="4" t="s">
        <v>49</v>
      </c>
      <c r="L24" s="4" t="s">
        <v>2465</v>
      </c>
      <c r="M24" s="6">
        <f>IFERROR(LEFT($F24,FIND("+",$F24)-2) + MID($F24, FIND("+",$F24)+1, LEN($F24)-FIND("+",$F24)-1), IFERROR(IF(LEFT($F24,FIND("-",$F24)-2) - MID($F24, FIND("-",$F24)+1, LEN($F24)-FIND("-",$F24)-1) &gt; 0,LEFT($F24,FIND("-",$F24)-2) - MID($F24, FIND("-",$F24)+1, LEN($F24)-FIND("-",$F24)-1),1), $F24)) * (LEFT($G24,FIND("-",$G24)-1) + IFERROR(MID($G24,FIND("-",$G24)+1,FIND("+",$G24)-FIND("-",$G24)-2)+2*MID($G24,FIND("+",$G24)+1,LEN($G24)-FIND("+",$G24)-1),RIGHT($G24, LEN($G24) - FIND("-",$G24))) + LEFT($I24,FIND("-",$I24)-1) + IFERROR(MID($I24,FIND("-",$I24)+1,FIND("+",$I24)-FIND("-",$I24)-2)+2*MID($I24,FIND("+",$I24)+1,LEN($I24)-FIND("+",$I24)-1),RIGHT($I24, LEN($I24) - FIND("-",$I24))) + LEFT($J24,FIND("-",$J24)-1) + IFERROR(MID($J24,FIND("-",$J24)+1,FIND("+",$J24)-FIND("-",$J24)-2)+2*MID($J24,FIND("+",$J24)+1,LEN($J24)-FIND("+",$J24)-1),RIGHT($J24, LEN($J24) - FIND("-",$J24))) + LEFT($K24,FIND("-",$K24)-1) + IFERROR(MID($K24,FIND("-",$K24)+1,FIND("+",$K24)-FIND("-",$K24)-2)+2*MID($K24,FIND("+",$K24)+1,LEN($K24)-FIND("+",$K24)-1),RIGHT($K24, LEN($K24) - FIND("-",$K24)))) / 2</f>
        <v>50</v>
      </c>
      <c r="N24" s="6">
        <f>IFERROR(LEFT($F24,FIND("+",$F24)-2) + MID($F24, FIND("+",$F24)+1, LEN($F24)-FIND("+",$F24)-1), IFERROR(IF(LEFT($F24,FIND("-",$F24)-2) - MID($F24, FIND("-",$F24)+1, LEN($F24)-FIND("-",$F24)-1) &gt; 0,LEFT($F24,FIND("-",$F24)-2) - MID($F24, FIND("-",$F24)+1, LEN($F24)-FIND("-",$F24)-1),1), $F24)) * (LEFT($H24,FIND("-",$H24)-1)+IFERROR(MID($H24,FIND("-",$H24)+1,FIND("+",$H24)-FIND("-",$H24)-2)+2*MID($H24,FIND("+",$H24)+1,LEN($H24)-FIND("+",$H24)-1),RIGHT($H24, LEN($H24) - FIND("-",$H24)))) / 2</f>
        <v>25</v>
      </c>
    </row>
    <row r="25" spans="1:21">
      <c r="A25" s="26" t="s">
        <v>238</v>
      </c>
      <c r="B25" s="26" t="s">
        <v>1218</v>
      </c>
      <c r="C25" s="26" t="s">
        <v>330</v>
      </c>
      <c r="D25" s="26" t="s">
        <v>250</v>
      </c>
      <c r="E25" s="26" t="s">
        <v>458</v>
      </c>
      <c r="F25" s="27">
        <v>13</v>
      </c>
      <c r="G25" s="28" t="s">
        <v>183</v>
      </c>
      <c r="H25" s="28" t="s">
        <v>20</v>
      </c>
      <c r="I25" s="28" t="s">
        <v>49</v>
      </c>
      <c r="J25" s="28" t="s">
        <v>49</v>
      </c>
      <c r="K25" s="28" t="s">
        <v>49</v>
      </c>
      <c r="L25" s="28" t="s">
        <v>971</v>
      </c>
      <c r="M25" s="28">
        <f>IFERROR(LEFT($F25,FIND("+",$F25)-2) + MID($F25, FIND("+",$F25)+1, LEN($F25)-FIND("+",$F25)-1), IFERROR(IF(LEFT($F25,FIND("-",$F25)-2) - MID($F25, FIND("-",$F25)+1, LEN($F25)-FIND("-",$F25)-1) &gt; 0,LEFT($F25,FIND("-",$F25)-2) - MID($F25, FIND("-",$F25)+1, LEN($F25)-FIND("-",$F25)-1),1), $F25)) * (LEFT($G25,FIND("-",$G25)-1) + IFERROR(MID($G25,FIND("-",$G25)+1,FIND("+",$G25)-FIND("-",$G25)-2)+2*MID($G25,FIND("+",$G25)+1,LEN($G25)-FIND("+",$G25)-1),RIGHT($G25, LEN($G25) - FIND("-",$G25))) + LEFT($I25,FIND("-",$I25)-1) + IFERROR(MID($I25,FIND("-",$I25)+1,FIND("+",$I25)-FIND("-",$I25)-2)+2*MID($I25,FIND("+",$I25)+1,LEN($I25)-FIND("+",$I25)-1),RIGHT($I25, LEN($I25) - FIND("-",$I25))) + LEFT($J25,FIND("-",$J25)-1) + IFERROR(MID($J25,FIND("-",$J25)+1,FIND("+",$J25)-FIND("-",$J25)-2)+2*MID($J25,FIND("+",$J25)+1,LEN($J25)-FIND("+",$J25)-1),RIGHT($J25, LEN($J25) - FIND("-",$J25))) + LEFT($K25,FIND("-",$K25)-1) + IFERROR(MID($K25,FIND("-",$K25)+1,FIND("+",$K25)-FIND("-",$K25)-2)+2*MID($K25,FIND("+",$K25)+1,LEN($K25)-FIND("+",$K25)-1),RIGHT($K25, LEN($K25) - FIND("-",$K25)))) / 2</f>
        <v>65</v>
      </c>
      <c r="N25" s="28">
        <f>IFERROR(LEFT($F25,FIND("+",$F25)-2) + MID($F25, FIND("+",$F25)+1, LEN($F25)-FIND("+",$F25)-1), IFERROR(IF(LEFT($F25,FIND("-",$F25)-2) - MID($F25, FIND("-",$F25)+1, LEN($F25)-FIND("-",$F25)-1) &gt; 0,LEFT($F25,FIND("-",$F25)-2) - MID($F25, FIND("-",$F25)+1, LEN($F25)-FIND("-",$F25)-1),1), $F25)) * (LEFT($H25,FIND("-",$H25)-1)+IFERROR(MID($H25,FIND("-",$H25)+1,FIND("+",$H25)-FIND("-",$H25)-2)+2*MID($H25,FIND("+",$H25)+1,LEN($H25)-FIND("+",$H25)-1),RIGHT($H25, LEN($H25) - FIND("-",$H25)))) / 2</f>
        <v>32.5</v>
      </c>
    </row>
    <row r="26" spans="1:21">
      <c r="A26" s="1" t="s">
        <v>1973</v>
      </c>
      <c r="B26" s="1" t="s">
        <v>1218</v>
      </c>
      <c r="C26" s="1" t="s">
        <v>1974</v>
      </c>
      <c r="D26" s="1" t="s">
        <v>248</v>
      </c>
      <c r="E26" s="1" t="s">
        <v>458</v>
      </c>
      <c r="F26" s="3">
        <v>16</v>
      </c>
      <c r="G26" s="4" t="s">
        <v>193</v>
      </c>
      <c r="H26" s="4" t="s">
        <v>18</v>
      </c>
      <c r="I26" s="4" t="s">
        <v>49</v>
      </c>
      <c r="J26" s="4" t="s">
        <v>49</v>
      </c>
      <c r="K26" s="4" t="s">
        <v>49</v>
      </c>
      <c r="M26" s="6">
        <f t="shared" si="0"/>
        <v>64</v>
      </c>
      <c r="N26" s="6">
        <f t="shared" si="1"/>
        <v>32</v>
      </c>
    </row>
    <row r="27" spans="1:21">
      <c r="A27" s="26" t="s">
        <v>1973</v>
      </c>
      <c r="B27" s="26" t="s">
        <v>1218</v>
      </c>
      <c r="C27" s="26" t="s">
        <v>210</v>
      </c>
      <c r="D27" s="26" t="s">
        <v>250</v>
      </c>
      <c r="E27" s="26" t="s">
        <v>458</v>
      </c>
      <c r="F27" s="27">
        <v>16</v>
      </c>
      <c r="G27" s="28" t="s">
        <v>113</v>
      </c>
      <c r="H27" s="28" t="s">
        <v>775</v>
      </c>
      <c r="I27" s="28" t="s">
        <v>49</v>
      </c>
      <c r="J27" s="28" t="s">
        <v>49</v>
      </c>
      <c r="K27" s="28" t="s">
        <v>49</v>
      </c>
      <c r="L27" s="28" t="s">
        <v>2466</v>
      </c>
      <c r="M27" s="28">
        <f t="shared" si="0"/>
        <v>88</v>
      </c>
      <c r="N27" s="28">
        <f t="shared" si="1"/>
        <v>48</v>
      </c>
    </row>
    <row r="28" spans="1:21">
      <c r="A28" s="1" t="s">
        <v>76</v>
      </c>
      <c r="B28" s="1" t="s">
        <v>1218</v>
      </c>
      <c r="C28" s="1" t="s">
        <v>872</v>
      </c>
      <c r="D28" s="1" t="s">
        <v>247</v>
      </c>
      <c r="E28" s="1" t="s">
        <v>332</v>
      </c>
      <c r="F28" s="3">
        <v>10</v>
      </c>
      <c r="G28" s="4" t="s">
        <v>70</v>
      </c>
      <c r="H28" s="4" t="s">
        <v>77</v>
      </c>
      <c r="I28" s="4" t="s">
        <v>49</v>
      </c>
      <c r="J28" s="4" t="s">
        <v>49</v>
      </c>
      <c r="K28" s="4" t="s">
        <v>49</v>
      </c>
      <c r="M28" s="6">
        <f t="shared" si="0"/>
        <v>70</v>
      </c>
      <c r="N28" s="6">
        <f t="shared" si="1"/>
        <v>45</v>
      </c>
      <c r="O28" s="13"/>
      <c r="P28" s="13"/>
      <c r="Q28" s="13"/>
      <c r="R28" s="13"/>
      <c r="S28" s="13"/>
    </row>
    <row r="29" spans="1:21">
      <c r="A29" s="26" t="s">
        <v>76</v>
      </c>
      <c r="B29" s="48" t="s">
        <v>1978</v>
      </c>
      <c r="C29" s="26" t="s">
        <v>1977</v>
      </c>
      <c r="D29" s="26" t="s">
        <v>250</v>
      </c>
      <c r="E29" s="26" t="s">
        <v>332</v>
      </c>
      <c r="F29" s="27">
        <v>19</v>
      </c>
      <c r="G29" s="28" t="s">
        <v>19</v>
      </c>
      <c r="H29" s="28" t="s">
        <v>77</v>
      </c>
      <c r="I29" s="28" t="s">
        <v>49</v>
      </c>
      <c r="J29" s="28" t="s">
        <v>49</v>
      </c>
      <c r="K29" s="28" t="s">
        <v>49</v>
      </c>
      <c r="L29" s="28" t="s">
        <v>2467</v>
      </c>
      <c r="M29" s="28">
        <f t="shared" si="0"/>
        <v>142.5</v>
      </c>
      <c r="N29" s="28">
        <f t="shared" si="1"/>
        <v>85.5</v>
      </c>
      <c r="O29" s="6"/>
      <c r="P29" s="13"/>
      <c r="Q29" s="13"/>
      <c r="R29" s="13"/>
      <c r="S29" s="13"/>
    </row>
    <row r="30" spans="1:21">
      <c r="A30" s="10" t="s">
        <v>784</v>
      </c>
      <c r="B30" s="10" t="s">
        <v>1220</v>
      </c>
      <c r="C30" s="10" t="s">
        <v>820</v>
      </c>
      <c r="D30" s="10" t="s">
        <v>246</v>
      </c>
      <c r="E30" s="10" t="s">
        <v>246</v>
      </c>
      <c r="F30" s="11">
        <v>10</v>
      </c>
      <c r="G30" s="6" t="s">
        <v>1782</v>
      </c>
      <c r="H30" s="6" t="s">
        <v>20</v>
      </c>
      <c r="I30" s="6" t="s">
        <v>49</v>
      </c>
      <c r="J30" s="6" t="s">
        <v>49</v>
      </c>
      <c r="K30" s="6" t="s">
        <v>49</v>
      </c>
      <c r="L30" s="6"/>
      <c r="M30" s="6">
        <f t="shared" si="0"/>
        <v>85</v>
      </c>
      <c r="N30" s="6">
        <f t="shared" si="1"/>
        <v>25</v>
      </c>
      <c r="O30" s="6"/>
      <c r="P30" s="13"/>
      <c r="Q30" s="13"/>
      <c r="R30" s="13"/>
    </row>
    <row r="31" spans="1:21">
      <c r="A31" s="26" t="s">
        <v>784</v>
      </c>
      <c r="B31" s="26" t="s">
        <v>1222</v>
      </c>
      <c r="C31" s="26" t="s">
        <v>204</v>
      </c>
      <c r="D31" s="26" t="s">
        <v>2271</v>
      </c>
      <c r="E31" s="26" t="s">
        <v>246</v>
      </c>
      <c r="F31" s="27">
        <v>10</v>
      </c>
      <c r="G31" s="28" t="s">
        <v>1784</v>
      </c>
      <c r="H31" s="28" t="s">
        <v>1791</v>
      </c>
      <c r="I31" s="28" t="s">
        <v>49</v>
      </c>
      <c r="J31" s="28" t="s">
        <v>49</v>
      </c>
      <c r="K31" s="28" t="s">
        <v>49</v>
      </c>
      <c r="L31" s="28" t="s">
        <v>2420</v>
      </c>
      <c r="M31" s="28">
        <f t="shared" si="0"/>
        <v>90</v>
      </c>
      <c r="N31" s="28">
        <f t="shared" si="1"/>
        <v>55</v>
      </c>
      <c r="O31" s="6"/>
      <c r="P31" s="13"/>
      <c r="Q31" s="13"/>
      <c r="R31" s="13"/>
    </row>
    <row r="32" spans="1:21">
      <c r="A32" s="10" t="s">
        <v>787</v>
      </c>
      <c r="B32" s="10" t="s">
        <v>1221</v>
      </c>
      <c r="C32" s="10" t="s">
        <v>373</v>
      </c>
      <c r="D32" s="10" t="s">
        <v>246</v>
      </c>
      <c r="E32" s="10" t="s">
        <v>246</v>
      </c>
      <c r="F32" s="11">
        <v>10</v>
      </c>
      <c r="G32" s="6" t="s">
        <v>1785</v>
      </c>
      <c r="H32" s="6" t="s">
        <v>1755</v>
      </c>
      <c r="I32" s="6" t="s">
        <v>49</v>
      </c>
      <c r="J32" s="6" t="s">
        <v>49</v>
      </c>
      <c r="K32" s="6" t="s">
        <v>49</v>
      </c>
      <c r="L32" s="6" t="s">
        <v>785</v>
      </c>
      <c r="M32" s="6">
        <f t="shared" si="0"/>
        <v>125</v>
      </c>
      <c r="N32" s="6">
        <f t="shared" si="1"/>
        <v>45</v>
      </c>
      <c r="O32" s="6"/>
      <c r="P32" s="13"/>
      <c r="Q32" s="13"/>
      <c r="R32" s="13"/>
    </row>
    <row r="33" spans="1:19">
      <c r="A33" s="26" t="s">
        <v>787</v>
      </c>
      <c r="B33" s="26" t="s">
        <v>1222</v>
      </c>
      <c r="C33" s="26" t="s">
        <v>223</v>
      </c>
      <c r="D33" s="26" t="s">
        <v>2272</v>
      </c>
      <c r="E33" s="26" t="s">
        <v>246</v>
      </c>
      <c r="F33" s="27">
        <v>10</v>
      </c>
      <c r="G33" s="28" t="s">
        <v>1786</v>
      </c>
      <c r="H33" s="28" t="s">
        <v>1792</v>
      </c>
      <c r="I33" s="28" t="s">
        <v>49</v>
      </c>
      <c r="J33" s="28" t="s">
        <v>49</v>
      </c>
      <c r="K33" s="28" t="s">
        <v>49</v>
      </c>
      <c r="L33" s="28" t="s">
        <v>2421</v>
      </c>
      <c r="M33" s="28">
        <f t="shared" si="0"/>
        <v>130</v>
      </c>
      <c r="N33" s="28">
        <f t="shared" si="1"/>
        <v>75</v>
      </c>
      <c r="O33" s="6"/>
      <c r="P33" s="13"/>
      <c r="Q33" s="13"/>
      <c r="R33" s="13"/>
    </row>
    <row r="34" spans="1:19">
      <c r="A34" s="10" t="s">
        <v>788</v>
      </c>
      <c r="B34" s="10" t="s">
        <v>1222</v>
      </c>
      <c r="C34" s="10" t="s">
        <v>821</v>
      </c>
      <c r="D34" s="10" t="s">
        <v>246</v>
      </c>
      <c r="E34" s="10" t="s">
        <v>630</v>
      </c>
      <c r="F34" s="11">
        <v>10</v>
      </c>
      <c r="G34" s="6" t="s">
        <v>1787</v>
      </c>
      <c r="H34" s="6" t="s">
        <v>1793</v>
      </c>
      <c r="I34" s="6" t="s">
        <v>49</v>
      </c>
      <c r="J34" s="6" t="s">
        <v>49</v>
      </c>
      <c r="K34" s="6" t="s">
        <v>49</v>
      </c>
      <c r="L34" s="6" t="s">
        <v>786</v>
      </c>
      <c r="M34" s="6">
        <f t="shared" si="0"/>
        <v>165</v>
      </c>
      <c r="N34" s="6">
        <f t="shared" si="1"/>
        <v>65</v>
      </c>
      <c r="O34" s="6"/>
      <c r="P34" s="13"/>
      <c r="Q34" s="13"/>
      <c r="R34" s="13"/>
    </row>
    <row r="35" spans="1:19">
      <c r="A35" s="26" t="s">
        <v>788</v>
      </c>
      <c r="B35" s="26" t="s">
        <v>1222</v>
      </c>
      <c r="C35" s="26" t="s">
        <v>536</v>
      </c>
      <c r="D35" s="26" t="s">
        <v>2273</v>
      </c>
      <c r="E35" s="26" t="s">
        <v>246</v>
      </c>
      <c r="F35" s="27">
        <v>10</v>
      </c>
      <c r="G35" s="28" t="s">
        <v>1788</v>
      </c>
      <c r="H35" s="28" t="s">
        <v>1794</v>
      </c>
      <c r="I35" s="28" t="s">
        <v>49</v>
      </c>
      <c r="J35" s="28" t="s">
        <v>49</v>
      </c>
      <c r="K35" s="28" t="s">
        <v>49</v>
      </c>
      <c r="L35" s="28" t="s">
        <v>2422</v>
      </c>
      <c r="M35" s="28">
        <f t="shared" si="0"/>
        <v>170</v>
      </c>
      <c r="N35" s="28">
        <f t="shared" si="1"/>
        <v>95</v>
      </c>
      <c r="O35" s="6"/>
      <c r="P35" s="13"/>
      <c r="Q35" s="13"/>
      <c r="R35" s="13"/>
    </row>
    <row r="36" spans="1:19">
      <c r="A36" s="10" t="s">
        <v>789</v>
      </c>
      <c r="B36" s="10" t="s">
        <v>1223</v>
      </c>
      <c r="C36" s="10" t="s">
        <v>822</v>
      </c>
      <c r="D36" s="10" t="s">
        <v>246</v>
      </c>
      <c r="E36" s="10" t="s">
        <v>812</v>
      </c>
      <c r="F36" s="11">
        <v>10</v>
      </c>
      <c r="G36" s="6" t="s">
        <v>1789</v>
      </c>
      <c r="H36" s="6" t="s">
        <v>1795</v>
      </c>
      <c r="I36" s="6" t="s">
        <v>49</v>
      </c>
      <c r="J36" s="6" t="s">
        <v>49</v>
      </c>
      <c r="K36" s="6" t="s">
        <v>49</v>
      </c>
      <c r="L36" s="6" t="s">
        <v>790</v>
      </c>
      <c r="M36" s="6">
        <f t="shared" si="0"/>
        <v>205</v>
      </c>
      <c r="N36" s="6">
        <f t="shared" si="1"/>
        <v>105</v>
      </c>
      <c r="O36" s="6"/>
      <c r="P36" s="13"/>
      <c r="Q36" s="13"/>
      <c r="R36" s="13"/>
    </row>
    <row r="37" spans="1:19">
      <c r="A37" s="26" t="s">
        <v>2284</v>
      </c>
      <c r="B37" s="26" t="s">
        <v>1222</v>
      </c>
      <c r="C37" s="26" t="s">
        <v>823</v>
      </c>
      <c r="D37" s="26" t="s">
        <v>2274</v>
      </c>
      <c r="E37" s="26" t="s">
        <v>246</v>
      </c>
      <c r="F37" s="27">
        <v>10</v>
      </c>
      <c r="G37" s="28" t="s">
        <v>1790</v>
      </c>
      <c r="H37" s="28" t="s">
        <v>1796</v>
      </c>
      <c r="I37" s="28" t="s">
        <v>49</v>
      </c>
      <c r="J37" s="28" t="s">
        <v>49</v>
      </c>
      <c r="K37" s="28" t="s">
        <v>49</v>
      </c>
      <c r="L37" s="28" t="s">
        <v>2423</v>
      </c>
      <c r="M37" s="28">
        <f t="shared" si="0"/>
        <v>210</v>
      </c>
      <c r="N37" s="28">
        <f t="shared" si="1"/>
        <v>115</v>
      </c>
      <c r="O37" s="6"/>
      <c r="P37" s="13"/>
      <c r="Q37" s="13"/>
      <c r="R37" s="13"/>
    </row>
    <row r="38" spans="1:19">
      <c r="A38" s="1" t="s">
        <v>2545</v>
      </c>
      <c r="B38" s="1" t="s">
        <v>2543</v>
      </c>
      <c r="C38" s="1" t="s">
        <v>600</v>
      </c>
      <c r="D38" s="1" t="s">
        <v>246</v>
      </c>
      <c r="E38" s="1" t="s">
        <v>2275</v>
      </c>
      <c r="F38" s="3" t="s">
        <v>2544</v>
      </c>
      <c r="G38" s="4" t="s">
        <v>2536</v>
      </c>
      <c r="H38" s="4" t="s">
        <v>20</v>
      </c>
      <c r="I38" s="4" t="s">
        <v>49</v>
      </c>
      <c r="J38" s="4" t="s">
        <v>49</v>
      </c>
      <c r="K38" s="4" t="s">
        <v>49</v>
      </c>
      <c r="L38" s="4" t="s">
        <v>2547</v>
      </c>
      <c r="M38" s="6">
        <f>IFERROR(LEFT($F38,FIND("+",$F38)-2) + MID($F38, FIND("+",$F38)+1, LEN($F38)-FIND("+",$F38)-1), IFERROR(IF(LEFT($F38,FIND("-",$F38)-2) - MID($F38, FIND("-",$F38)+1, LEN($F38)-FIND("-",$F38)-1) &gt; 0,LEFT($F38,FIND("-",$F38)-2) - MID($F38, FIND("-",$F38)+1, LEN($F38)-FIND("-",$F38)-1),1), $F38)) * (LEFT($G38,FIND("-",$G38)-1) + IFERROR(MID($G38,FIND("-",$G38)+1,FIND("+",$G38)-FIND("-",$G38)-2)+2*MID($G38,FIND("+",$G38)+1,LEN($G38)-FIND("+",$G38)-1),RIGHT($G38, LEN($G38) - FIND("-",$G38))) + LEFT($I38,FIND("-",$I38)-1) + IFERROR(MID($I38,FIND("-",$I38)+1,FIND("+",$I38)-FIND("-",$I38)-2)+2*MID($I38,FIND("+",$I38)+1,LEN($I38)-FIND("+",$I38)-1),RIGHT($I38, LEN($I38) - FIND("-",$I38))) + LEFT($J38,FIND("-",$J38)-1) + IFERROR(MID($J38,FIND("-",$J38)+1,FIND("+",$J38)-FIND("-",$J38)-2)+2*MID($J38,FIND("+",$J38)+1,LEN($J38)-FIND("+",$J38)-1),RIGHT($J38, LEN($J38) - FIND("-",$J38))) + LEFT($K38,FIND("-",$K38)-1) + IFERROR(MID($K38,FIND("-",$K38)+1,FIND("+",$K38)-FIND("-",$K38)-2)+2*MID($K38,FIND("+",$K38)+1,LEN($K38)-FIND("+",$K38)-1),RIGHT($K38, LEN($K38) - FIND("-",$K38)))) / 2</f>
        <v>825</v>
      </c>
      <c r="N38" s="6">
        <f>IFERROR(LEFT($F38,FIND("+",$F38)-2) + MID($F38, FIND("+",$F38)+1, LEN($F38)-FIND("+",$F38)-1), IFERROR(IF(LEFT($F38,FIND("-",$F38)-2) - MID($F38, FIND("-",$F38)+1, LEN($F38)-FIND("-",$F38)-1) &gt; 0,LEFT($F38,FIND("-",$F38)-2) - MID($F38, FIND("-",$F38)+1, LEN($F38)-FIND("-",$F38)-1),1), $F38)) * (LEFT($H38,FIND("-",$H38)-1)+IFERROR(MID($H38,FIND("-",$H38)+1,FIND("+",$H38)-FIND("-",$H38)-2)+2*MID($H38,FIND("+",$H38)+1,LEN($H38)-FIND("+",$H38)-1),RIGHT($H38, LEN($H38) - FIND("-",$H38)))) / 2</f>
        <v>75</v>
      </c>
    </row>
    <row r="39" spans="1:19">
      <c r="A39" s="26" t="s">
        <v>2535</v>
      </c>
      <c r="B39" s="26" t="s">
        <v>2543</v>
      </c>
      <c r="C39" s="26" t="s">
        <v>378</v>
      </c>
      <c r="D39" s="26" t="s">
        <v>246</v>
      </c>
      <c r="E39" s="26" t="s">
        <v>246</v>
      </c>
      <c r="F39" s="27" t="s">
        <v>2546</v>
      </c>
      <c r="G39" s="28" t="s">
        <v>2536</v>
      </c>
      <c r="H39" s="28" t="s">
        <v>46</v>
      </c>
      <c r="I39" s="28" t="s">
        <v>49</v>
      </c>
      <c r="J39" s="28" t="s">
        <v>49</v>
      </c>
      <c r="K39" s="28" t="s">
        <v>49</v>
      </c>
      <c r="L39" s="28" t="s">
        <v>2548</v>
      </c>
      <c r="M39" s="28">
        <f>IFERROR(LEFT($F39,FIND("+",$F39)-2) + MID($F39, FIND("+",$F39)+1, LEN($F39)-FIND("+",$F39)-1), IFERROR(IF(LEFT($F39,FIND("-",$F39)-2) - MID($F39, FIND("-",$F39)+1, LEN($F39)-FIND("-",$F39)-1) &gt; 0,LEFT($F39,FIND("-",$F39)-2) - MID($F39, FIND("-",$F39)+1, LEN($F39)-FIND("-",$F39)-1),1), $F39)) * (LEFT($G39,FIND("-",$G39)-1) + IFERROR(MID($G39,FIND("-",$G39)+1,FIND("+",$G39)-FIND("-",$G39)-2)+2*MID($G39,FIND("+",$G39)+1,LEN($G39)-FIND("+",$G39)-1),RIGHT($G39, LEN($G39) - FIND("-",$G39))) + LEFT($I39,FIND("-",$I39)-1) + IFERROR(MID($I39,FIND("-",$I39)+1,FIND("+",$I39)-FIND("-",$I39)-2)+2*MID($I39,FIND("+",$I39)+1,LEN($I39)-FIND("+",$I39)-1),RIGHT($I39, LEN($I39) - FIND("-",$I39))) + LEFT($J39,FIND("-",$J39)-1) + IFERROR(MID($J39,FIND("-",$J39)+1,FIND("+",$J39)-FIND("-",$J39)-2)+2*MID($J39,FIND("+",$J39)+1,LEN($J39)-FIND("+",$J39)-1),RIGHT($J39, LEN($J39) - FIND("-",$J39))) + LEFT($K39,FIND("-",$K39)-1) + IFERROR(MID($K39,FIND("-",$K39)+1,FIND("+",$K39)-FIND("-",$K39)-2)+2*MID($K39,FIND("+",$K39)+1,LEN($K39)-FIND("+",$K39)-1),RIGHT($K39, LEN($K39) - FIND("-",$K39)))) / 2</f>
        <v>412.5</v>
      </c>
      <c r="N39" s="28">
        <f>IFERROR(LEFT($F39,FIND("+",$F39)-2) + MID($F39, FIND("+",$F39)+1, LEN($F39)-FIND("+",$F39)-1), IFERROR(IF(LEFT($F39,FIND("-",$F39)-2) - MID($F39, FIND("-",$F39)+1, LEN($F39)-FIND("-",$F39)-1) &gt; 0,LEFT($F39,FIND("-",$F39)-2) - MID($F39, FIND("-",$F39)+1, LEN($F39)-FIND("-",$F39)-1),1), $F39)) * (LEFT($H39,FIND("-",$H39)-1)+IFERROR(MID($H39,FIND("-",$H39)+1,FIND("+",$H39)-FIND("-",$H39)-2)+2*MID($H39,FIND("+",$H39)+1,LEN($H39)-FIND("+",$H39)-1),RIGHT($H39, LEN($H39) - FIND("-",$H39)))) / 2</f>
        <v>150</v>
      </c>
    </row>
    <row r="40" spans="1:19">
      <c r="A40" s="1" t="s">
        <v>2537</v>
      </c>
      <c r="B40" s="1" t="s">
        <v>1226</v>
      </c>
      <c r="C40" s="1" t="s">
        <v>205</v>
      </c>
      <c r="D40" s="1" t="s">
        <v>211</v>
      </c>
      <c r="E40" s="1" t="s">
        <v>212</v>
      </c>
      <c r="F40" s="3">
        <v>10</v>
      </c>
      <c r="G40" s="4" t="s">
        <v>889</v>
      </c>
      <c r="H40" s="4" t="s">
        <v>46</v>
      </c>
      <c r="I40" s="4" t="s">
        <v>49</v>
      </c>
      <c r="J40" s="4" t="s">
        <v>49</v>
      </c>
      <c r="K40" s="4" t="s">
        <v>49</v>
      </c>
      <c r="M40" s="6">
        <f>IFERROR(LEFT($F40,FIND("+",$F40)-2) + MID($F40, FIND("+",$F40)+1, LEN($F40)-FIND("+",$F40)-1), IFERROR(IF(LEFT($F40,FIND("-",$F40)-2) - MID($F40, FIND("-",$F40)+1, LEN($F40)-FIND("-",$F40)-1) &gt; 0,LEFT($F40,FIND("-",$F40)-2) - MID($F40, FIND("-",$F40)+1, LEN($F40)-FIND("-",$F40)-1),1), $F40)) * (LEFT($G40,FIND("-",$G40)-1) + IFERROR(MID($G40,FIND("-",$G40)+1,FIND("+",$G40)-FIND("-",$G40)-2)+2*MID($G40,FIND("+",$G40)+1,LEN($G40)-FIND("+",$G40)-1),RIGHT($G40, LEN($G40) - FIND("-",$G40))) + LEFT($I40,FIND("-",$I40)-1) + IFERROR(MID($I40,FIND("-",$I40)+1,FIND("+",$I40)-FIND("-",$I40)-2)+2*MID($I40,FIND("+",$I40)+1,LEN($I40)-FIND("+",$I40)-1),RIGHT($I40, LEN($I40) - FIND("-",$I40))) + LEFT($J40,FIND("-",$J40)-1) + IFERROR(MID($J40,FIND("-",$J40)+1,FIND("+",$J40)-FIND("-",$J40)-2)+2*MID($J40,FIND("+",$J40)+1,LEN($J40)-FIND("+",$J40)-1),RIGHT($J40, LEN($J40) - FIND("-",$J40))) + LEFT($K40,FIND("-",$K40)-1) + IFERROR(MID($K40,FIND("-",$K40)+1,FIND("+",$K40)-FIND("-",$K40)-2)+2*MID($K40,FIND("+",$K40)+1,LEN($K40)-FIND("+",$K40)-1),RIGHT($K40, LEN($K40) - FIND("-",$K40)))) / 2</f>
        <v>200</v>
      </c>
      <c r="N40" s="6">
        <f>IFERROR(LEFT($F40,FIND("+",$F40)-2) + MID($F40, FIND("+",$F40)+1, LEN($F40)-FIND("+",$F40)-1), IFERROR(IF(LEFT($F40,FIND("-",$F40)-2) - MID($F40, FIND("-",$F40)+1, LEN($F40)-FIND("-",$F40)-1) &gt; 0,LEFT($F40,FIND("-",$F40)-2) - MID($F40, FIND("-",$F40)+1, LEN($F40)-FIND("-",$F40)-1),1), $F40)) * (LEFT($H40,FIND("-",$H40)-1)+IFERROR(MID($H40,FIND("-",$H40)+1,FIND("+",$H40)-FIND("-",$H40)-2)+2*MID($H40,FIND("+",$H40)+1,LEN($H40)-FIND("+",$H40)-1),RIGHT($H40, LEN($H40) - FIND("-",$H40)))) / 2</f>
        <v>100</v>
      </c>
    </row>
    <row r="41" spans="1:19">
      <c r="A41" s="26" t="s">
        <v>2537</v>
      </c>
      <c r="B41" s="26" t="s">
        <v>1226</v>
      </c>
      <c r="C41" s="26" t="s">
        <v>566</v>
      </c>
      <c r="D41" s="26" t="s">
        <v>293</v>
      </c>
      <c r="E41" s="26" t="s">
        <v>209</v>
      </c>
      <c r="F41" s="27">
        <v>10</v>
      </c>
      <c r="G41" s="28" t="s">
        <v>889</v>
      </c>
      <c r="H41" s="28" t="s">
        <v>46</v>
      </c>
      <c r="I41" s="28" t="s">
        <v>49</v>
      </c>
      <c r="J41" s="28" t="s">
        <v>49</v>
      </c>
      <c r="K41" s="28" t="s">
        <v>49</v>
      </c>
      <c r="L41" s="28" t="s">
        <v>2538</v>
      </c>
      <c r="M41" s="28">
        <f>IFERROR(LEFT($F41,FIND("+",$F41)-2) + MID($F41, FIND("+",$F41)+1, LEN($F41)-FIND("+",$F41)-1), IFERROR(IF(LEFT($F41,FIND("-",$F41)-2) - MID($F41, FIND("-",$F41)+1, LEN($F41)-FIND("-",$F41)-1) &gt; 0,LEFT($F41,FIND("-",$F41)-2) - MID($F41, FIND("-",$F41)+1, LEN($F41)-FIND("-",$F41)-1),1), $F41)) * (LEFT($G41,FIND("-",$G41)-1) + IFERROR(MID($G41,FIND("-",$G41)+1,FIND("+",$G41)-FIND("-",$G41)-2)+2*MID($G41,FIND("+",$G41)+1,LEN($G41)-FIND("+",$G41)-1),RIGHT($G41, LEN($G41) - FIND("-",$G41))) + LEFT($I41,FIND("-",$I41)-1) + IFERROR(MID($I41,FIND("-",$I41)+1,FIND("+",$I41)-FIND("-",$I41)-2)+2*MID($I41,FIND("+",$I41)+1,LEN($I41)-FIND("+",$I41)-1),RIGHT($I41, LEN($I41) - FIND("-",$I41))) + LEFT($J41,FIND("-",$J41)-1) + IFERROR(MID($J41,FIND("-",$J41)+1,FIND("+",$J41)-FIND("-",$J41)-2)+2*MID($J41,FIND("+",$J41)+1,LEN($J41)-FIND("+",$J41)-1),RIGHT($J41, LEN($J41) - FIND("-",$J41))) + LEFT($K41,FIND("-",$K41)-1) + IFERROR(MID($K41,FIND("-",$K41)+1,FIND("+",$K41)-FIND("-",$K41)-2)+2*MID($K41,FIND("+",$K41)+1,LEN($K41)-FIND("+",$K41)-1),RIGHT($K41, LEN($K41) - FIND("-",$K41)))) / 2</f>
        <v>200</v>
      </c>
      <c r="N41" s="28">
        <f>IFERROR(LEFT($F41,FIND("+",$F41)-2) + MID($F41, FIND("+",$F41)+1, LEN($F41)-FIND("+",$F41)-1), IFERROR(IF(LEFT($F41,FIND("-",$F41)-2) - MID($F41, FIND("-",$F41)+1, LEN($F41)-FIND("-",$F41)-1) &gt; 0,LEFT($F41,FIND("-",$F41)-2) - MID($F41, FIND("-",$F41)+1, LEN($F41)-FIND("-",$F41)-1),1), $F41)) * (LEFT($H41,FIND("-",$H41)-1)+IFERROR(MID($H41,FIND("-",$H41)+1,FIND("+",$H41)-FIND("-",$H41)-2)+2*MID($H41,FIND("+",$H41)+1,LEN($H41)-FIND("+",$H41)-1),RIGHT($H41, LEN($H41) - FIND("-",$H41)))) / 2</f>
        <v>100</v>
      </c>
    </row>
    <row r="42" spans="1:19">
      <c r="A42" s="10" t="s">
        <v>856</v>
      </c>
      <c r="B42" s="10" t="s">
        <v>1221</v>
      </c>
      <c r="C42" s="10" t="s">
        <v>858</v>
      </c>
      <c r="D42" s="10" t="s">
        <v>212</v>
      </c>
      <c r="E42" s="10" t="s">
        <v>330</v>
      </c>
      <c r="F42" s="11">
        <v>10</v>
      </c>
      <c r="G42" s="6" t="s">
        <v>29</v>
      </c>
      <c r="H42" s="6" t="s">
        <v>20</v>
      </c>
      <c r="I42" s="6" t="s">
        <v>49</v>
      </c>
      <c r="J42" s="6" t="s">
        <v>49</v>
      </c>
      <c r="K42" s="6" t="s">
        <v>49</v>
      </c>
      <c r="L42" s="6" t="s">
        <v>857</v>
      </c>
      <c r="M42" s="6">
        <f t="shared" si="0"/>
        <v>45</v>
      </c>
      <c r="N42" s="6">
        <f t="shared" si="1"/>
        <v>25</v>
      </c>
      <c r="O42" s="6"/>
      <c r="P42" s="13"/>
      <c r="Q42" s="13"/>
      <c r="R42" s="13"/>
    </row>
    <row r="43" spans="1:19">
      <c r="A43" s="26" t="s">
        <v>856</v>
      </c>
      <c r="B43" s="26" t="s">
        <v>1221</v>
      </c>
      <c r="C43" s="26" t="s">
        <v>383</v>
      </c>
      <c r="D43" s="26" t="s">
        <v>212</v>
      </c>
      <c r="E43" s="26" t="s">
        <v>630</v>
      </c>
      <c r="F43" s="27">
        <v>10</v>
      </c>
      <c r="G43" s="28" t="s">
        <v>232</v>
      </c>
      <c r="H43" s="28" t="s">
        <v>193</v>
      </c>
      <c r="I43" s="28" t="s">
        <v>49</v>
      </c>
      <c r="J43" s="28" t="s">
        <v>49</v>
      </c>
      <c r="K43" s="28" t="s">
        <v>49</v>
      </c>
      <c r="L43" s="28" t="s">
        <v>857</v>
      </c>
      <c r="M43" s="28">
        <f t="shared" si="0"/>
        <v>60</v>
      </c>
      <c r="N43" s="28">
        <f t="shared" si="1"/>
        <v>40</v>
      </c>
      <c r="O43" s="6"/>
      <c r="P43" s="13"/>
      <c r="Q43" s="13"/>
      <c r="R43" s="13"/>
    </row>
    <row r="44" spans="1:19">
      <c r="A44" s="10" t="s">
        <v>827</v>
      </c>
      <c r="B44" s="10" t="s">
        <v>1223</v>
      </c>
      <c r="C44" s="10" t="s">
        <v>201</v>
      </c>
      <c r="D44" s="10" t="s">
        <v>212</v>
      </c>
      <c r="E44" s="10" t="s">
        <v>246</v>
      </c>
      <c r="F44" s="11" t="s">
        <v>1853</v>
      </c>
      <c r="G44" s="6" t="s">
        <v>29</v>
      </c>
      <c r="H44" s="6" t="s">
        <v>20</v>
      </c>
      <c r="I44" s="6" t="s">
        <v>49</v>
      </c>
      <c r="J44" s="6" t="s">
        <v>49</v>
      </c>
      <c r="K44" s="6" t="s">
        <v>49</v>
      </c>
      <c r="L44" s="6" t="s">
        <v>2468</v>
      </c>
      <c r="M44" s="6">
        <f t="shared" si="0"/>
        <v>54</v>
      </c>
      <c r="N44" s="6">
        <f t="shared" si="1"/>
        <v>30</v>
      </c>
      <c r="O44" s="6"/>
      <c r="P44" s="13"/>
      <c r="Q44" s="13"/>
      <c r="R44" s="13"/>
    </row>
    <row r="45" spans="1:19">
      <c r="A45" s="26" t="s">
        <v>827</v>
      </c>
      <c r="B45" s="26" t="s">
        <v>1222</v>
      </c>
      <c r="C45" s="26" t="s">
        <v>203</v>
      </c>
      <c r="D45" s="26" t="s">
        <v>246</v>
      </c>
      <c r="E45" s="26" t="s">
        <v>1728</v>
      </c>
      <c r="F45" s="27" t="s">
        <v>1853</v>
      </c>
      <c r="G45" s="28" t="s">
        <v>183</v>
      </c>
      <c r="H45" s="28" t="s">
        <v>17</v>
      </c>
      <c r="I45" s="28" t="s">
        <v>49</v>
      </c>
      <c r="J45" s="28" t="s">
        <v>49</v>
      </c>
      <c r="K45" s="28" t="s">
        <v>49</v>
      </c>
      <c r="L45" s="28" t="s">
        <v>2468</v>
      </c>
      <c r="M45" s="28">
        <f t="shared" si="0"/>
        <v>60</v>
      </c>
      <c r="N45" s="28">
        <f t="shared" si="1"/>
        <v>42</v>
      </c>
      <c r="O45" s="6"/>
      <c r="P45" s="13"/>
      <c r="Q45" s="13"/>
      <c r="R45" s="13"/>
      <c r="S45" s="13"/>
    </row>
    <row r="46" spans="1:19">
      <c r="A46" s="10" t="s">
        <v>1545</v>
      </c>
      <c r="B46" s="10" t="s">
        <v>1222</v>
      </c>
      <c r="C46" s="10" t="s">
        <v>203</v>
      </c>
      <c r="D46" s="10" t="s">
        <v>246</v>
      </c>
      <c r="E46" s="10" t="s">
        <v>250</v>
      </c>
      <c r="F46" s="11">
        <v>11</v>
      </c>
      <c r="G46" s="6" t="s">
        <v>62</v>
      </c>
      <c r="H46" s="6" t="s">
        <v>100</v>
      </c>
      <c r="I46" s="6" t="s">
        <v>49</v>
      </c>
      <c r="J46" s="6" t="s">
        <v>49</v>
      </c>
      <c r="K46" s="6" t="s">
        <v>49</v>
      </c>
      <c r="L46" s="6" t="s">
        <v>2469</v>
      </c>
      <c r="M46" s="6">
        <f t="shared" si="0"/>
        <v>66</v>
      </c>
      <c r="N46" s="6">
        <f t="shared" si="1"/>
        <v>33</v>
      </c>
      <c r="O46" s="6"/>
      <c r="P46" s="13"/>
      <c r="Q46" s="13"/>
      <c r="R46" s="13"/>
    </row>
    <row r="47" spans="1:19">
      <c r="A47" s="26" t="s">
        <v>1889</v>
      </c>
      <c r="B47" s="26" t="s">
        <v>1221</v>
      </c>
      <c r="C47" s="26" t="s">
        <v>283</v>
      </c>
      <c r="D47" s="26" t="s">
        <v>246</v>
      </c>
      <c r="E47" s="26" t="s">
        <v>250</v>
      </c>
      <c r="F47" s="27">
        <v>11</v>
      </c>
      <c r="G47" s="28" t="s">
        <v>62</v>
      </c>
      <c r="H47" s="28" t="s">
        <v>100</v>
      </c>
      <c r="I47" s="28" t="s">
        <v>49</v>
      </c>
      <c r="J47" s="28" t="s">
        <v>49</v>
      </c>
      <c r="K47" s="28" t="s">
        <v>49</v>
      </c>
      <c r="L47" s="28" t="s">
        <v>2470</v>
      </c>
      <c r="M47" s="28">
        <f t="shared" si="0"/>
        <v>66</v>
      </c>
      <c r="N47" s="28">
        <f t="shared" si="1"/>
        <v>33</v>
      </c>
      <c r="O47" s="6"/>
      <c r="P47" s="13"/>
      <c r="Q47" s="13"/>
      <c r="R47" s="13"/>
    </row>
    <row r="48" spans="1:19">
      <c r="A48" s="1" t="s">
        <v>1689</v>
      </c>
      <c r="B48" s="1" t="s">
        <v>1222</v>
      </c>
      <c r="C48" s="1" t="s">
        <v>211</v>
      </c>
      <c r="D48" s="1" t="s">
        <v>246</v>
      </c>
      <c r="E48" s="1" t="s">
        <v>330</v>
      </c>
      <c r="F48" s="3" t="s">
        <v>1863</v>
      </c>
      <c r="G48" s="4" t="s">
        <v>174</v>
      </c>
      <c r="H48" s="4" t="s">
        <v>69</v>
      </c>
      <c r="I48" s="4" t="s">
        <v>49</v>
      </c>
      <c r="J48" s="4" t="s">
        <v>49</v>
      </c>
      <c r="K48" s="4" t="s">
        <v>49</v>
      </c>
      <c r="M48" s="6">
        <f t="shared" ref="M48:M59" si="2">IFERROR(LEFT($F48,FIND("+",$F48)-2) + MID($F48, FIND("+",$F48)+1, LEN($F48)-FIND("+",$F48)-1), IFERROR(IF(LEFT($F48,FIND("-",$F48)-2) - MID($F48, FIND("-",$F48)+1, LEN($F48)-FIND("-",$F48)-1) &gt; 0,LEFT($F48,FIND("-",$F48)-2) - MID($F48, FIND("-",$F48)+1, LEN($F48)-FIND("-",$F48)-1),1), $F48)) * (LEFT($G48,FIND("-",$G48)-1) + IFERROR(MID($G48,FIND("-",$G48)+1,FIND("+",$G48)-FIND("-",$G48)-2)+2*MID($G48,FIND("+",$G48)+1,LEN($G48)-FIND("+",$G48)-1),RIGHT($G48, LEN($G48) - FIND("-",$G48))) + LEFT($I48,FIND("-",$I48)-1) + IFERROR(MID($I48,FIND("-",$I48)+1,FIND("+",$I48)-FIND("-",$I48)-2)+2*MID($I48,FIND("+",$I48)+1,LEN($I48)-FIND("+",$I48)-1),RIGHT($I48, LEN($I48) - FIND("-",$I48))) + LEFT($J48,FIND("-",$J48)-1) + IFERROR(MID($J48,FIND("-",$J48)+1,FIND("+",$J48)-FIND("-",$J48)-2)+2*MID($J48,FIND("+",$J48)+1,LEN($J48)-FIND("+",$J48)-1),RIGHT($J48, LEN($J48) - FIND("-",$J48))) + LEFT($K48,FIND("-",$K48)-1) + IFERROR(MID($K48,FIND("-",$K48)+1,FIND("+",$K48)-FIND("-",$K48)-2)+2*MID($K48,FIND("+",$K48)+1,LEN($K48)-FIND("+",$K48)-1),RIGHT($K48, LEN($K48) - FIND("-",$K48)))) / 2</f>
        <v>33</v>
      </c>
      <c r="N48" s="6">
        <f t="shared" ref="N48:N59" si="3">IFERROR(LEFT($F48,FIND("+",$F48)-2) + MID($F48, FIND("+",$F48)+1, LEN($F48)-FIND("+",$F48)-1), IFERROR(IF(LEFT($F48,FIND("-",$F48)-2) - MID($F48, FIND("-",$F48)+1, LEN($F48)-FIND("-",$F48)-1) &gt; 0,LEFT($F48,FIND("-",$F48)-2) - MID($F48, FIND("-",$F48)+1, LEN($F48)-FIND("-",$F48)-1),1), $F48)) * (LEFT($H48,FIND("-",$H48)-1)+IFERROR(MID($H48,FIND("-",$H48)+1,FIND("+",$H48)-FIND("-",$H48)-2)+2*MID($H48,FIND("+",$H48)+1,LEN($H48)-FIND("+",$H48)-1),RIGHT($H48, LEN($H48) - FIND("-",$H48)))) / 2</f>
        <v>21</v>
      </c>
    </row>
    <row r="49" spans="1:20">
      <c r="A49" s="26" t="s">
        <v>1689</v>
      </c>
      <c r="B49" s="26" t="s">
        <v>1221</v>
      </c>
      <c r="C49" s="26" t="s">
        <v>565</v>
      </c>
      <c r="D49" s="26" t="s">
        <v>246</v>
      </c>
      <c r="E49" s="26" t="s">
        <v>250</v>
      </c>
      <c r="F49" s="27" t="s">
        <v>1864</v>
      </c>
      <c r="G49" s="28" t="s">
        <v>273</v>
      </c>
      <c r="H49" s="28" t="s">
        <v>193</v>
      </c>
      <c r="I49" s="28" t="s">
        <v>49</v>
      </c>
      <c r="J49" s="28" t="s">
        <v>49</v>
      </c>
      <c r="K49" s="28" t="s">
        <v>49</v>
      </c>
      <c r="L49" s="28" t="s">
        <v>2471</v>
      </c>
      <c r="M49" s="28">
        <f t="shared" si="2"/>
        <v>45.5</v>
      </c>
      <c r="N49" s="28">
        <f t="shared" si="3"/>
        <v>28</v>
      </c>
    </row>
    <row r="50" spans="1:20">
      <c r="A50" s="1" t="s">
        <v>1690</v>
      </c>
      <c r="B50" s="1" t="s">
        <v>1222</v>
      </c>
      <c r="C50" s="1" t="s">
        <v>203</v>
      </c>
      <c r="D50" s="1" t="s">
        <v>246</v>
      </c>
      <c r="E50" s="1" t="s">
        <v>246</v>
      </c>
      <c r="F50" s="3">
        <v>20</v>
      </c>
      <c r="G50" s="4" t="s">
        <v>29</v>
      </c>
      <c r="H50" s="4" t="s">
        <v>20</v>
      </c>
      <c r="I50" s="4" t="s">
        <v>49</v>
      </c>
      <c r="J50" s="4" t="s">
        <v>49</v>
      </c>
      <c r="K50" s="4" t="s">
        <v>49</v>
      </c>
      <c r="M50" s="6">
        <f>IFERROR(LEFT($F50,FIND("+",$F50)-2) + MID($F50, FIND("+",$F50)+1, LEN($F50)-FIND("+",$F50)-1), IFERROR(IF(LEFT($F50,FIND("-",$F50)-2) - MID($F50, FIND("-",$F50)+1, LEN($F50)-FIND("-",$F50)-1) &gt; 0,LEFT($F50,FIND("-",$F50)-2) - MID($F50, FIND("-",$F50)+1, LEN($F50)-FIND("-",$F50)-1),1), $F50)) * (LEFT($G50,FIND("-",$G50)-1) + IFERROR(MID($G50,FIND("-",$G50)+1,FIND("+",$G50)-FIND("-",$G50)-2)+2*MID($G50,FIND("+",$G50)+1,LEN($G50)-FIND("+",$G50)-1),RIGHT($G50, LEN($G50) - FIND("-",$G50))) + LEFT($I50,FIND("-",$I50)-1) + IFERROR(MID($I50,FIND("-",$I50)+1,FIND("+",$I50)-FIND("-",$I50)-2)+2*MID($I50,FIND("+",$I50)+1,LEN($I50)-FIND("+",$I50)-1),RIGHT($I50, LEN($I50) - FIND("-",$I50))) + LEFT($J50,FIND("-",$J50)-1) + IFERROR(MID($J50,FIND("-",$J50)+1,FIND("+",$J50)-FIND("-",$J50)-2)+2*MID($J50,FIND("+",$J50)+1,LEN($J50)-FIND("+",$J50)-1),RIGHT($J50, LEN($J50) - FIND("-",$J50))) + LEFT($K50,FIND("-",$K50)-1) + IFERROR(MID($K50,FIND("-",$K50)+1,FIND("+",$K50)-FIND("-",$K50)-2)+2*MID($K50,FIND("+",$K50)+1,LEN($K50)-FIND("+",$K50)-1),RIGHT($K50, LEN($K50) - FIND("-",$K50)))) / 2</f>
        <v>90</v>
      </c>
      <c r="N50" s="6">
        <f>IFERROR(LEFT($F50,FIND("+",$F50)-2) + MID($F50, FIND("+",$F50)+1, LEN($F50)-FIND("+",$F50)-1), IFERROR(IF(LEFT($F50,FIND("-",$F50)-2) - MID($F50, FIND("-",$F50)+1, LEN($F50)-FIND("-",$F50)-1) &gt; 0,LEFT($F50,FIND("-",$F50)-2) - MID($F50, FIND("-",$F50)+1, LEN($F50)-FIND("-",$F50)-1),1), $F50)) * (LEFT($H50,FIND("-",$H50)-1)+IFERROR(MID($H50,FIND("-",$H50)+1,FIND("+",$H50)-FIND("-",$H50)-2)+2*MID($H50,FIND("+",$H50)+1,LEN($H50)-FIND("+",$H50)-1),RIGHT($H50, LEN($H50) - FIND("-",$H50)))) / 2</f>
        <v>50</v>
      </c>
    </row>
    <row r="51" spans="1:20">
      <c r="A51" s="26" t="s">
        <v>1690</v>
      </c>
      <c r="B51" s="26" t="s">
        <v>1725</v>
      </c>
      <c r="C51" s="26" t="s">
        <v>1726</v>
      </c>
      <c r="D51" s="26" t="s">
        <v>211</v>
      </c>
      <c r="E51" s="26" t="s">
        <v>1727</v>
      </c>
      <c r="F51" s="27" t="s">
        <v>516</v>
      </c>
      <c r="G51" s="28" t="s">
        <v>1798</v>
      </c>
      <c r="H51" s="28" t="s">
        <v>1799</v>
      </c>
      <c r="I51" s="28" t="s">
        <v>49</v>
      </c>
      <c r="J51" s="28" t="s">
        <v>49</v>
      </c>
      <c r="K51" s="28" t="s">
        <v>49</v>
      </c>
      <c r="L51" s="28"/>
      <c r="M51" s="28">
        <f>IFERROR(LEFT($F51,FIND("+",$F51)-2) + MID($F51, FIND("+",$F51)+1, LEN($F51)-FIND("+",$F51)-1), IFERROR(IF(LEFT($F51,FIND("-",$F51)-2) - MID($F51, FIND("-",$F51)+1, LEN($F51)-FIND("-",$F51)-1) &gt; 0,LEFT($F51,FIND("-",$F51)-2) - MID($F51, FIND("-",$F51)+1, LEN($F51)-FIND("-",$F51)-1),1), $F51)) * (LEFT($G51,FIND("-",$G51)-1) + IFERROR(MID($G51,FIND("-",$G51)+1,FIND("+",$G51)-FIND("-",$G51)-2)+2*MID($G51,FIND("+",$G51)+1,LEN($G51)-FIND("+",$G51)-1),RIGHT($G51, LEN($G51) - FIND("-",$G51))) + LEFT($I51,FIND("-",$I51)-1) + IFERROR(MID($I51,FIND("-",$I51)+1,FIND("+",$I51)-FIND("-",$I51)-2)+2*MID($I51,FIND("+",$I51)+1,LEN($I51)-FIND("+",$I51)-1),RIGHT($I51, LEN($I51) - FIND("-",$I51))) + LEFT($J51,FIND("-",$J51)-1) + IFERROR(MID($J51,FIND("-",$J51)+1,FIND("+",$J51)-FIND("-",$J51)-2)+2*MID($J51,FIND("+",$J51)+1,LEN($J51)-FIND("+",$J51)-1),RIGHT($J51, LEN($J51) - FIND("-",$J51))) + LEFT($K51,FIND("-",$K51)-1) + IFERROR(MID($K51,FIND("-",$K51)+1,FIND("+",$K51)-FIND("-",$K51)-2)+2*MID($K51,FIND("+",$K51)+1,LEN($K51)-FIND("+",$K51)-1),RIGHT($K51, LEN($K51) - FIND("-",$K51)))) / 2</f>
        <v>40</v>
      </c>
      <c r="N51" s="28">
        <f>IFERROR(LEFT($F51,FIND("+",$F51)-2) + MID($F51, FIND("+",$F51)+1, LEN($F51)-FIND("+",$F51)-1), IFERROR(IF(LEFT($F51,FIND("-",$F51)-2) - MID($F51, FIND("-",$F51)+1, LEN($F51)-FIND("-",$F51)-1) &gt; 0,LEFT($F51,FIND("-",$F51)-2) - MID($F51, FIND("-",$F51)+1, LEN($F51)-FIND("-",$F51)-1),1), $F51)) * (LEFT($H51,FIND("-",$H51)-1)+IFERROR(MID($H51,FIND("-",$H51)+1,FIND("+",$H51)-FIND("-",$H51)-2)+2*MID($H51,FIND("+",$H51)+1,LEN($H51)-FIND("+",$H51)-1),RIGHT($H51, LEN($H51) - FIND("-",$H51)))) / 2</f>
        <v>26.5</v>
      </c>
      <c r="O51" s="6"/>
      <c r="P51" s="13"/>
      <c r="Q51" s="13"/>
      <c r="R51" s="13"/>
      <c r="S51" s="13"/>
    </row>
    <row r="52" spans="1:20">
      <c r="A52" s="1" t="s">
        <v>1642</v>
      </c>
      <c r="B52" s="1" t="s">
        <v>1222</v>
      </c>
      <c r="C52" s="1" t="s">
        <v>212</v>
      </c>
      <c r="D52" s="1" t="s">
        <v>246</v>
      </c>
      <c r="E52" s="1" t="s">
        <v>246</v>
      </c>
      <c r="F52" s="3">
        <v>10</v>
      </c>
      <c r="G52" s="4" t="s">
        <v>174</v>
      </c>
      <c r="H52" s="4" t="s">
        <v>69</v>
      </c>
      <c r="I52" s="4" t="s">
        <v>49</v>
      </c>
      <c r="J52" s="4" t="s">
        <v>49</v>
      </c>
      <c r="K52" s="4" t="s">
        <v>49</v>
      </c>
      <c r="M52" s="6">
        <f t="shared" si="2"/>
        <v>55</v>
      </c>
      <c r="N52" s="6">
        <f t="shared" si="3"/>
        <v>35</v>
      </c>
    </row>
    <row r="53" spans="1:20">
      <c r="A53" s="26" t="s">
        <v>1642</v>
      </c>
      <c r="B53" s="26" t="s">
        <v>1221</v>
      </c>
      <c r="C53" s="26" t="s">
        <v>1643</v>
      </c>
      <c r="D53" s="26" t="s">
        <v>246</v>
      </c>
      <c r="E53" s="26" t="s">
        <v>330</v>
      </c>
      <c r="F53" s="27">
        <v>11</v>
      </c>
      <c r="G53" s="28" t="s">
        <v>24</v>
      </c>
      <c r="H53" s="28" t="s">
        <v>69</v>
      </c>
      <c r="I53" s="28" t="s">
        <v>49</v>
      </c>
      <c r="J53" s="28" t="s">
        <v>49</v>
      </c>
      <c r="K53" s="28" t="s">
        <v>49</v>
      </c>
      <c r="L53" s="28" t="s">
        <v>1644</v>
      </c>
      <c r="M53" s="28">
        <f t="shared" si="2"/>
        <v>66</v>
      </c>
      <c r="N53" s="28">
        <f t="shared" si="3"/>
        <v>38.5</v>
      </c>
    </row>
    <row r="54" spans="1:20">
      <c r="A54" s="10" t="s">
        <v>865</v>
      </c>
      <c r="B54" s="10" t="s">
        <v>1222</v>
      </c>
      <c r="C54" s="10" t="s">
        <v>866</v>
      </c>
      <c r="D54" s="10" t="s">
        <v>246</v>
      </c>
      <c r="E54" s="10" t="s">
        <v>246</v>
      </c>
      <c r="F54" s="11">
        <v>10</v>
      </c>
      <c r="G54" s="6" t="s">
        <v>1782</v>
      </c>
      <c r="H54" s="6" t="s">
        <v>20</v>
      </c>
      <c r="I54" s="6" t="s">
        <v>49</v>
      </c>
      <c r="J54" s="6" t="s">
        <v>49</v>
      </c>
      <c r="K54" s="6" t="s">
        <v>49</v>
      </c>
      <c r="L54" s="6" t="s">
        <v>859</v>
      </c>
      <c r="M54" s="6">
        <f t="shared" si="2"/>
        <v>85</v>
      </c>
      <c r="N54" s="6">
        <f t="shared" si="3"/>
        <v>25</v>
      </c>
      <c r="O54" s="6"/>
      <c r="P54" s="13"/>
      <c r="Q54" s="13"/>
      <c r="R54" s="13"/>
    </row>
    <row r="55" spans="1:20">
      <c r="A55" s="26" t="s">
        <v>865</v>
      </c>
      <c r="B55" s="26" t="s">
        <v>1221</v>
      </c>
      <c r="C55" s="26" t="s">
        <v>1212</v>
      </c>
      <c r="D55" s="26" t="s">
        <v>246</v>
      </c>
      <c r="E55" s="26" t="s">
        <v>330</v>
      </c>
      <c r="F55" s="27">
        <v>11</v>
      </c>
      <c r="G55" s="28" t="s">
        <v>1783</v>
      </c>
      <c r="H55" s="28" t="s">
        <v>69</v>
      </c>
      <c r="I55" s="28" t="s">
        <v>49</v>
      </c>
      <c r="J55" s="28" t="s">
        <v>49</v>
      </c>
      <c r="K55" s="28" t="s">
        <v>49</v>
      </c>
      <c r="L55" s="28" t="s">
        <v>859</v>
      </c>
      <c r="M55" s="28">
        <f t="shared" si="2"/>
        <v>110</v>
      </c>
      <c r="N55" s="28">
        <f t="shared" si="3"/>
        <v>38.5</v>
      </c>
      <c r="O55" s="6"/>
      <c r="P55" s="13"/>
      <c r="Q55" s="13"/>
      <c r="R55" s="13"/>
    </row>
    <row r="56" spans="1:20">
      <c r="A56" s="48" t="s">
        <v>950</v>
      </c>
      <c r="B56" s="48" t="s">
        <v>1224</v>
      </c>
      <c r="C56" s="48" t="s">
        <v>337</v>
      </c>
      <c r="D56" s="48" t="s">
        <v>212</v>
      </c>
      <c r="E56" s="48" t="s">
        <v>248</v>
      </c>
      <c r="F56" s="50" t="s">
        <v>454</v>
      </c>
      <c r="G56" s="49" t="s">
        <v>62</v>
      </c>
      <c r="H56" s="49" t="s">
        <v>100</v>
      </c>
      <c r="I56" s="49" t="s">
        <v>49</v>
      </c>
      <c r="J56" s="49" t="s">
        <v>49</v>
      </c>
      <c r="K56" s="49" t="s">
        <v>49</v>
      </c>
      <c r="L56" s="52" t="s">
        <v>2472</v>
      </c>
      <c r="M56" s="49">
        <f t="shared" si="2"/>
        <v>120</v>
      </c>
      <c r="N56" s="49">
        <f t="shared" si="3"/>
        <v>60</v>
      </c>
      <c r="O56" s="6"/>
      <c r="P56" s="13"/>
      <c r="Q56" s="13"/>
      <c r="R56" s="13"/>
    </row>
    <row r="57" spans="1:20">
      <c r="A57" s="26" t="s">
        <v>950</v>
      </c>
      <c r="B57" s="26" t="s">
        <v>1224</v>
      </c>
      <c r="C57" s="26" t="s">
        <v>852</v>
      </c>
      <c r="D57" s="26" t="s">
        <v>212</v>
      </c>
      <c r="E57" s="26" t="s">
        <v>2510</v>
      </c>
      <c r="F57" s="27" t="s">
        <v>2509</v>
      </c>
      <c r="G57" s="28" t="s">
        <v>19</v>
      </c>
      <c r="H57" s="28" t="s">
        <v>77</v>
      </c>
      <c r="I57" s="28" t="s">
        <v>49</v>
      </c>
      <c r="J57" s="28" t="s">
        <v>49</v>
      </c>
      <c r="K57" s="28" t="s">
        <v>49</v>
      </c>
      <c r="L57" s="28" t="s">
        <v>2472</v>
      </c>
      <c r="M57" s="28">
        <f t="shared" si="2"/>
        <v>120</v>
      </c>
      <c r="N57" s="28">
        <f t="shared" si="3"/>
        <v>72</v>
      </c>
      <c r="O57" s="6"/>
      <c r="P57" s="13"/>
      <c r="Q57" s="13"/>
      <c r="R57" s="13"/>
      <c r="S57" s="13"/>
      <c r="T57" s="13"/>
    </row>
    <row r="58" spans="1:20">
      <c r="A58" s="48" t="s">
        <v>828</v>
      </c>
      <c r="B58" s="48" t="s">
        <v>1222</v>
      </c>
      <c r="C58" s="48" t="s">
        <v>337</v>
      </c>
      <c r="D58" s="48" t="s">
        <v>246</v>
      </c>
      <c r="E58" s="48" t="s">
        <v>246</v>
      </c>
      <c r="F58" s="50">
        <v>10</v>
      </c>
      <c r="G58" s="49" t="s">
        <v>1787</v>
      </c>
      <c r="H58" s="49" t="s">
        <v>1793</v>
      </c>
      <c r="I58" s="49" t="s">
        <v>49</v>
      </c>
      <c r="J58" s="49" t="s">
        <v>49</v>
      </c>
      <c r="K58" s="49" t="s">
        <v>49</v>
      </c>
      <c r="L58" s="49" t="s">
        <v>951</v>
      </c>
      <c r="M58" s="49">
        <f t="shared" si="2"/>
        <v>165</v>
      </c>
      <c r="N58" s="49">
        <f t="shared" si="3"/>
        <v>65</v>
      </c>
      <c r="O58" s="6"/>
      <c r="P58" s="13"/>
      <c r="Q58" s="13"/>
      <c r="R58" s="13"/>
    </row>
    <row r="59" spans="1:20">
      <c r="A59" s="26" t="s">
        <v>828</v>
      </c>
      <c r="B59" s="26" t="s">
        <v>1221</v>
      </c>
      <c r="C59" s="26" t="s">
        <v>342</v>
      </c>
      <c r="D59" s="26" t="s">
        <v>246</v>
      </c>
      <c r="E59" s="26" t="s">
        <v>330</v>
      </c>
      <c r="F59" s="27">
        <v>11</v>
      </c>
      <c r="G59" s="28" t="s">
        <v>24</v>
      </c>
      <c r="H59" s="28" t="s">
        <v>69</v>
      </c>
      <c r="I59" s="28" t="s">
        <v>1797</v>
      </c>
      <c r="J59" s="28" t="s">
        <v>49</v>
      </c>
      <c r="K59" s="28" t="s">
        <v>49</v>
      </c>
      <c r="L59" s="28" t="s">
        <v>951</v>
      </c>
      <c r="M59" s="28">
        <f t="shared" si="2"/>
        <v>176</v>
      </c>
      <c r="N59" s="28">
        <f t="shared" si="3"/>
        <v>38.5</v>
      </c>
      <c r="O59" s="6"/>
      <c r="P59" s="13"/>
      <c r="Q59" s="13"/>
      <c r="R59" s="13"/>
      <c r="S59" s="13"/>
    </row>
    <row r="60" spans="1:20">
      <c r="A60" s="1" t="s">
        <v>1204</v>
      </c>
      <c r="B60" s="1" t="s">
        <v>1225</v>
      </c>
      <c r="C60" s="1" t="s">
        <v>812</v>
      </c>
      <c r="D60" s="1" t="s">
        <v>246</v>
      </c>
      <c r="E60" s="1" t="s">
        <v>501</v>
      </c>
      <c r="F60" s="3">
        <v>12</v>
      </c>
      <c r="G60" s="4" t="s">
        <v>17</v>
      </c>
      <c r="H60" s="4" t="s">
        <v>18</v>
      </c>
      <c r="I60" s="4" t="s">
        <v>49</v>
      </c>
      <c r="J60" s="4" t="s">
        <v>49</v>
      </c>
      <c r="K60" s="4" t="s">
        <v>49</v>
      </c>
      <c r="M60" s="6">
        <f t="shared" ref="M60:M123" si="4">IFERROR(LEFT($F60,FIND("+",$F60)-2) + MID($F60, FIND("+",$F60)+1, LEN($F60)-FIND("+",$F60)-1), IFERROR(IF(LEFT($F60,FIND("-",$F60)-2) - MID($F60, FIND("-",$F60)+1, LEN($F60)-FIND("-",$F60)-1) &gt; 0,LEFT($F60,FIND("-",$F60)-2) - MID($F60, FIND("-",$F60)+1, LEN($F60)-FIND("-",$F60)-1),1), $F60)) * (LEFT($G60,FIND("-",$G60)-1) + IFERROR(MID($G60,FIND("-",$G60)+1,FIND("+",$G60)-FIND("-",$G60)-2)+2*MID($G60,FIND("+",$G60)+1,LEN($G60)-FIND("+",$G60)-1),RIGHT($G60, LEN($G60) - FIND("-",$G60))) + LEFT($I60,FIND("-",$I60)-1) + IFERROR(MID($I60,FIND("-",$I60)+1,FIND("+",$I60)-FIND("-",$I60)-2)+2*MID($I60,FIND("+",$I60)+1,LEN($I60)-FIND("+",$I60)-1),RIGHT($I60, LEN($I60) - FIND("-",$I60))) + LEFT($J60,FIND("-",$J60)-1) + IFERROR(MID($J60,FIND("-",$J60)+1,FIND("+",$J60)-FIND("-",$J60)-2)+2*MID($J60,FIND("+",$J60)+1,LEN($J60)-FIND("+",$J60)-1),RIGHT($J60, LEN($J60) - FIND("-",$J60))) + LEFT($K60,FIND("-",$K60)-1) + IFERROR(MID($K60,FIND("-",$K60)+1,FIND("+",$K60)-FIND("-",$K60)-2)+2*MID($K60,FIND("+",$K60)+1,LEN($K60)-FIND("+",$K60)-1),RIGHT($K60, LEN($K60) - FIND("-",$K60)))) / 2</f>
        <v>42</v>
      </c>
      <c r="N60" s="6">
        <f t="shared" ref="N60:N123" si="5">IFERROR(LEFT($F60,FIND("+",$F60)-2) + MID($F60, FIND("+",$F60)+1, LEN($F60)-FIND("+",$F60)-1), IFERROR(IF(LEFT($F60,FIND("-",$F60)-2) - MID($F60, FIND("-",$F60)+1, LEN($F60)-FIND("-",$F60)-1) &gt; 0,LEFT($F60,FIND("-",$F60)-2) - MID($F60, FIND("-",$F60)+1, LEN($F60)-FIND("-",$F60)-1),1), $F60)) * (LEFT($H60,FIND("-",$H60)-1)+IFERROR(MID($H60,FIND("-",$H60)+1,FIND("+",$H60)-FIND("-",$H60)-2)+2*MID($H60,FIND("+",$H60)+1,LEN($H60)-FIND("+",$H60)-1),RIGHT($H60, LEN($H60) - FIND("-",$H60)))) / 2</f>
        <v>24</v>
      </c>
    </row>
    <row r="61" spans="1:20">
      <c r="A61" s="26" t="s">
        <v>1204</v>
      </c>
      <c r="B61" s="26" t="s">
        <v>1220</v>
      </c>
      <c r="C61" s="26" t="s">
        <v>812</v>
      </c>
      <c r="D61" s="26" t="s">
        <v>248</v>
      </c>
      <c r="E61" s="26" t="s">
        <v>248</v>
      </c>
      <c r="F61" s="27">
        <v>12</v>
      </c>
      <c r="G61" s="28" t="s">
        <v>17</v>
      </c>
      <c r="H61" s="28" t="s">
        <v>20</v>
      </c>
      <c r="I61" s="28" t="s">
        <v>49</v>
      </c>
      <c r="J61" s="28" t="s">
        <v>49</v>
      </c>
      <c r="K61" s="28" t="s">
        <v>49</v>
      </c>
      <c r="L61" s="28"/>
      <c r="M61" s="28">
        <f t="shared" si="4"/>
        <v>42</v>
      </c>
      <c r="N61" s="28">
        <f t="shared" si="5"/>
        <v>30</v>
      </c>
    </row>
    <row r="62" spans="1:20">
      <c r="A62" s="1" t="s">
        <v>1572</v>
      </c>
      <c r="B62" s="1" t="s">
        <v>1222</v>
      </c>
      <c r="C62" s="1" t="s">
        <v>211</v>
      </c>
      <c r="D62" s="1" t="s">
        <v>246</v>
      </c>
      <c r="E62" s="1" t="s">
        <v>250</v>
      </c>
      <c r="F62" s="3">
        <v>11</v>
      </c>
      <c r="G62" s="4" t="s">
        <v>62</v>
      </c>
      <c r="H62" s="4" t="s">
        <v>100</v>
      </c>
      <c r="I62" s="4" t="s">
        <v>49</v>
      </c>
      <c r="J62" s="4" t="s">
        <v>49</v>
      </c>
      <c r="K62" s="4" t="s">
        <v>49</v>
      </c>
      <c r="M62" s="6">
        <f t="shared" si="4"/>
        <v>66</v>
      </c>
      <c r="N62" s="6">
        <f t="shared" si="5"/>
        <v>33</v>
      </c>
    </row>
    <row r="63" spans="1:20">
      <c r="A63" s="26" t="s">
        <v>1572</v>
      </c>
      <c r="B63" s="26" t="s">
        <v>1221</v>
      </c>
      <c r="C63" s="26" t="s">
        <v>331</v>
      </c>
      <c r="D63" s="26" t="s">
        <v>246</v>
      </c>
      <c r="E63" s="26" t="s">
        <v>250</v>
      </c>
      <c r="F63" s="27">
        <v>11</v>
      </c>
      <c r="G63" s="28" t="s">
        <v>62</v>
      </c>
      <c r="H63" s="28" t="s">
        <v>100</v>
      </c>
      <c r="I63" s="28" t="s">
        <v>49</v>
      </c>
      <c r="J63" s="28" t="s">
        <v>49</v>
      </c>
      <c r="K63" s="28" t="s">
        <v>49</v>
      </c>
      <c r="L63" s="28"/>
      <c r="M63" s="28">
        <f t="shared" si="4"/>
        <v>66</v>
      </c>
      <c r="N63" s="28">
        <f t="shared" si="5"/>
        <v>33</v>
      </c>
    </row>
    <row r="64" spans="1:20">
      <c r="A64" s="1" t="s">
        <v>912</v>
      </c>
      <c r="B64" s="1" t="s">
        <v>1222</v>
      </c>
      <c r="C64" s="1" t="s">
        <v>246</v>
      </c>
      <c r="D64" s="1" t="s">
        <v>246</v>
      </c>
      <c r="E64" s="1" t="s">
        <v>246</v>
      </c>
      <c r="F64" s="3">
        <v>10</v>
      </c>
      <c r="G64" s="4" t="s">
        <v>29</v>
      </c>
      <c r="H64" s="4" t="s">
        <v>20</v>
      </c>
      <c r="I64" s="4" t="s">
        <v>49</v>
      </c>
      <c r="J64" s="4" t="s">
        <v>49</v>
      </c>
      <c r="K64" s="4" t="s">
        <v>49</v>
      </c>
      <c r="M64" s="6">
        <f t="shared" si="4"/>
        <v>45</v>
      </c>
      <c r="N64" s="6">
        <f t="shared" si="5"/>
        <v>25</v>
      </c>
    </row>
    <row r="65" spans="1:19">
      <c r="A65" s="26" t="s">
        <v>912</v>
      </c>
      <c r="B65" s="26" t="s">
        <v>1222</v>
      </c>
      <c r="C65" s="26" t="s">
        <v>246</v>
      </c>
      <c r="D65" s="26" t="s">
        <v>246</v>
      </c>
      <c r="E65" s="26" t="s">
        <v>246</v>
      </c>
      <c r="F65" s="27">
        <v>10</v>
      </c>
      <c r="G65" s="28" t="s">
        <v>183</v>
      </c>
      <c r="H65" s="28" t="s">
        <v>17</v>
      </c>
      <c r="I65" s="28" t="s">
        <v>49</v>
      </c>
      <c r="J65" s="28" t="s">
        <v>49</v>
      </c>
      <c r="K65" s="28" t="s">
        <v>49</v>
      </c>
      <c r="L65" s="28"/>
      <c r="M65" s="28">
        <f t="shared" si="4"/>
        <v>50</v>
      </c>
      <c r="N65" s="28">
        <f t="shared" si="5"/>
        <v>35</v>
      </c>
    </row>
    <row r="66" spans="1:19">
      <c r="A66" s="1" t="s">
        <v>1211</v>
      </c>
      <c r="B66" s="1" t="s">
        <v>1222</v>
      </c>
      <c r="C66" s="1" t="s">
        <v>212</v>
      </c>
      <c r="D66" s="1" t="s">
        <v>246</v>
      </c>
      <c r="E66" s="1" t="s">
        <v>246</v>
      </c>
      <c r="F66" s="3">
        <v>10</v>
      </c>
      <c r="G66" s="4" t="s">
        <v>174</v>
      </c>
      <c r="H66" s="4" t="s">
        <v>69</v>
      </c>
      <c r="I66" s="4" t="s">
        <v>49</v>
      </c>
      <c r="J66" s="4" t="s">
        <v>49</v>
      </c>
      <c r="K66" s="4" t="s">
        <v>49</v>
      </c>
      <c r="M66" s="6">
        <f t="shared" si="4"/>
        <v>55</v>
      </c>
      <c r="N66" s="6">
        <f t="shared" si="5"/>
        <v>35</v>
      </c>
    </row>
    <row r="67" spans="1:19">
      <c r="A67" s="26" t="s">
        <v>1211</v>
      </c>
      <c r="B67" s="26" t="s">
        <v>1221</v>
      </c>
      <c r="C67" s="26" t="s">
        <v>211</v>
      </c>
      <c r="D67" s="26" t="s">
        <v>246</v>
      </c>
      <c r="E67" s="26" t="s">
        <v>330</v>
      </c>
      <c r="F67" s="27">
        <v>11</v>
      </c>
      <c r="G67" s="28" t="s">
        <v>24</v>
      </c>
      <c r="H67" s="28" t="s">
        <v>69</v>
      </c>
      <c r="I67" s="28" t="s">
        <v>49</v>
      </c>
      <c r="J67" s="28" t="s">
        <v>49</v>
      </c>
      <c r="K67" s="28" t="s">
        <v>49</v>
      </c>
      <c r="L67" s="28"/>
      <c r="M67" s="28">
        <f t="shared" si="4"/>
        <v>66</v>
      </c>
      <c r="N67" s="28">
        <f t="shared" si="5"/>
        <v>38.5</v>
      </c>
    </row>
    <row r="68" spans="1:19">
      <c r="A68" s="1" t="s">
        <v>1213</v>
      </c>
      <c r="B68" s="1" t="s">
        <v>1222</v>
      </c>
      <c r="C68" s="1" t="s">
        <v>211</v>
      </c>
      <c r="D68" s="1" t="s">
        <v>246</v>
      </c>
      <c r="E68" s="1" t="s">
        <v>330</v>
      </c>
      <c r="F68" s="3">
        <v>12</v>
      </c>
      <c r="G68" s="4" t="s">
        <v>174</v>
      </c>
      <c r="H68" s="4" t="s">
        <v>69</v>
      </c>
      <c r="I68" s="4" t="s">
        <v>49</v>
      </c>
      <c r="J68" s="4" t="s">
        <v>49</v>
      </c>
      <c r="K68" s="4" t="s">
        <v>49</v>
      </c>
      <c r="M68" s="6">
        <f t="shared" si="4"/>
        <v>66</v>
      </c>
      <c r="N68" s="6">
        <f t="shared" si="5"/>
        <v>42</v>
      </c>
    </row>
    <row r="69" spans="1:19">
      <c r="A69" s="26" t="s">
        <v>1213</v>
      </c>
      <c r="B69" s="26" t="s">
        <v>1221</v>
      </c>
      <c r="C69" s="26" t="s">
        <v>412</v>
      </c>
      <c r="D69" s="26" t="s">
        <v>246</v>
      </c>
      <c r="E69" s="26" t="s">
        <v>250</v>
      </c>
      <c r="F69" s="27">
        <v>13</v>
      </c>
      <c r="G69" s="28" t="s">
        <v>273</v>
      </c>
      <c r="H69" s="28" t="s">
        <v>193</v>
      </c>
      <c r="I69" s="28" t="s">
        <v>49</v>
      </c>
      <c r="J69" s="28" t="s">
        <v>49</v>
      </c>
      <c r="K69" s="28" t="s">
        <v>49</v>
      </c>
      <c r="L69" s="28"/>
      <c r="M69" s="28">
        <f t="shared" si="4"/>
        <v>84.5</v>
      </c>
      <c r="N69" s="28">
        <f t="shared" si="5"/>
        <v>52</v>
      </c>
    </row>
    <row r="70" spans="1:19">
      <c r="A70" s="1" t="s">
        <v>6</v>
      </c>
      <c r="B70" s="1" t="s">
        <v>1220</v>
      </c>
      <c r="C70" s="1" t="s">
        <v>203</v>
      </c>
      <c r="D70" s="1" t="s">
        <v>212</v>
      </c>
      <c r="E70" s="1" t="s">
        <v>247</v>
      </c>
      <c r="F70" s="3">
        <v>18</v>
      </c>
      <c r="G70" s="4" t="s">
        <v>12</v>
      </c>
      <c r="H70" s="4" t="s">
        <v>24</v>
      </c>
      <c r="I70" s="4" t="s">
        <v>49</v>
      </c>
      <c r="J70" s="4" t="s">
        <v>49</v>
      </c>
      <c r="K70" s="4" t="s">
        <v>49</v>
      </c>
      <c r="M70" s="6">
        <f t="shared" si="4"/>
        <v>135</v>
      </c>
      <c r="N70" s="6">
        <f t="shared" si="5"/>
        <v>108</v>
      </c>
    </row>
    <row r="71" spans="1:19">
      <c r="A71" s="26" t="s">
        <v>6</v>
      </c>
      <c r="B71" s="26" t="s">
        <v>1220</v>
      </c>
      <c r="C71" s="26" t="s">
        <v>203</v>
      </c>
      <c r="D71" s="26" t="s">
        <v>212</v>
      </c>
      <c r="E71" s="26" t="s">
        <v>248</v>
      </c>
      <c r="F71" s="27">
        <v>17</v>
      </c>
      <c r="G71" s="28" t="s">
        <v>61</v>
      </c>
      <c r="H71" s="28" t="s">
        <v>231</v>
      </c>
      <c r="I71" s="28" t="s">
        <v>49</v>
      </c>
      <c r="J71" s="28" t="s">
        <v>49</v>
      </c>
      <c r="K71" s="28" t="s">
        <v>49</v>
      </c>
      <c r="L71" s="28"/>
      <c r="M71" s="28">
        <f t="shared" si="4"/>
        <v>119</v>
      </c>
      <c r="N71" s="28">
        <f t="shared" si="5"/>
        <v>76.5</v>
      </c>
    </row>
    <row r="72" spans="1:19">
      <c r="A72" s="1" t="s">
        <v>27</v>
      </c>
      <c r="B72" s="1" t="s">
        <v>1222</v>
      </c>
      <c r="C72" s="1" t="s">
        <v>282</v>
      </c>
      <c r="D72" s="1" t="s">
        <v>291</v>
      </c>
      <c r="E72" s="1" t="s">
        <v>248</v>
      </c>
      <c r="F72" s="3">
        <v>8</v>
      </c>
      <c r="G72" s="4" t="s">
        <v>29</v>
      </c>
      <c r="H72" s="4" t="s">
        <v>20</v>
      </c>
      <c r="I72" s="4" t="s">
        <v>49</v>
      </c>
      <c r="J72" s="4" t="s">
        <v>49</v>
      </c>
      <c r="K72" s="4" t="s">
        <v>28</v>
      </c>
      <c r="M72" s="6">
        <f t="shared" si="4"/>
        <v>216</v>
      </c>
      <c r="N72" s="6">
        <f t="shared" si="5"/>
        <v>20</v>
      </c>
      <c r="O72" s="13"/>
      <c r="P72" s="13"/>
      <c r="Q72" s="13"/>
      <c r="R72" s="13"/>
      <c r="S72" s="13"/>
    </row>
    <row r="73" spans="1:19">
      <c r="A73" s="26" t="s">
        <v>27</v>
      </c>
      <c r="B73" s="48" t="s">
        <v>1242</v>
      </c>
      <c r="C73" s="26" t="s">
        <v>283</v>
      </c>
      <c r="D73" s="26" t="s">
        <v>212</v>
      </c>
      <c r="E73" s="26" t="s">
        <v>249</v>
      </c>
      <c r="F73" s="27">
        <v>15</v>
      </c>
      <c r="G73" s="28" t="s">
        <v>61</v>
      </c>
      <c r="H73" s="28" t="s">
        <v>231</v>
      </c>
      <c r="I73" s="28" t="s">
        <v>49</v>
      </c>
      <c r="J73" s="28" t="s">
        <v>49</v>
      </c>
      <c r="K73" s="28" t="s">
        <v>46</v>
      </c>
      <c r="L73" s="28"/>
      <c r="M73" s="28">
        <f t="shared" si="4"/>
        <v>255</v>
      </c>
      <c r="N73" s="28">
        <f t="shared" si="5"/>
        <v>67.5</v>
      </c>
      <c r="O73" s="13"/>
      <c r="P73" s="13"/>
      <c r="Q73" s="13"/>
      <c r="R73" s="13"/>
      <c r="S73" s="13"/>
    </row>
    <row r="74" spans="1:19">
      <c r="A74" s="1" t="s">
        <v>25</v>
      </c>
      <c r="B74" s="1" t="s">
        <v>1220</v>
      </c>
      <c r="C74" s="1" t="s">
        <v>814</v>
      </c>
      <c r="D74" s="1" t="s">
        <v>246</v>
      </c>
      <c r="E74" s="1" t="s">
        <v>246</v>
      </c>
      <c r="F74" s="3">
        <v>10</v>
      </c>
      <c r="G74" s="4" t="s">
        <v>12</v>
      </c>
      <c r="H74" s="4" t="s">
        <v>24</v>
      </c>
      <c r="I74" s="4" t="s">
        <v>49</v>
      </c>
      <c r="J74" s="4" t="s">
        <v>26</v>
      </c>
      <c r="K74" s="4" t="s">
        <v>49</v>
      </c>
      <c r="M74" s="6">
        <f t="shared" si="4"/>
        <v>180</v>
      </c>
      <c r="N74" s="6">
        <f t="shared" si="5"/>
        <v>60</v>
      </c>
    </row>
    <row r="75" spans="1:19">
      <c r="A75" s="26" t="s">
        <v>25</v>
      </c>
      <c r="B75" s="48" t="s">
        <v>2349</v>
      </c>
      <c r="C75" s="26" t="s">
        <v>528</v>
      </c>
      <c r="D75" s="26" t="s">
        <v>212</v>
      </c>
      <c r="E75" s="26" t="s">
        <v>250</v>
      </c>
      <c r="F75" s="27">
        <v>13</v>
      </c>
      <c r="G75" s="28" t="s">
        <v>61</v>
      </c>
      <c r="H75" s="28" t="s">
        <v>183</v>
      </c>
      <c r="I75" s="28" t="s">
        <v>49</v>
      </c>
      <c r="J75" s="28" t="s">
        <v>19</v>
      </c>
      <c r="K75" s="28" t="s">
        <v>49</v>
      </c>
      <c r="L75" s="28" t="s">
        <v>1341</v>
      </c>
      <c r="M75" s="28">
        <f t="shared" si="4"/>
        <v>188.5</v>
      </c>
      <c r="N75" s="28">
        <f t="shared" si="5"/>
        <v>65</v>
      </c>
    </row>
    <row r="76" spans="1:19">
      <c r="A76" s="1" t="s">
        <v>1266</v>
      </c>
      <c r="B76" s="1" t="s">
        <v>1222</v>
      </c>
      <c r="C76" s="1" t="s">
        <v>1267</v>
      </c>
      <c r="D76" s="1" t="s">
        <v>211</v>
      </c>
      <c r="E76" s="1" t="s">
        <v>1268</v>
      </c>
      <c r="F76" s="3">
        <v>12</v>
      </c>
      <c r="G76" s="4" t="s">
        <v>104</v>
      </c>
      <c r="H76" s="4" t="s">
        <v>61</v>
      </c>
      <c r="I76" s="4" t="s">
        <v>49</v>
      </c>
      <c r="J76" s="4" t="s">
        <v>49</v>
      </c>
      <c r="K76" s="4" t="s">
        <v>49</v>
      </c>
      <c r="M76" s="6">
        <f t="shared" si="4"/>
        <v>120</v>
      </c>
      <c r="N76" s="6">
        <f t="shared" si="5"/>
        <v>84</v>
      </c>
    </row>
    <row r="77" spans="1:19">
      <c r="A77" s="26" t="s">
        <v>1266</v>
      </c>
      <c r="B77" s="26" t="s">
        <v>2542</v>
      </c>
      <c r="C77" s="26" t="s">
        <v>599</v>
      </c>
      <c r="D77" s="26" t="s">
        <v>212</v>
      </c>
      <c r="E77" s="26" t="s">
        <v>1398</v>
      </c>
      <c r="F77" s="27" t="s">
        <v>1854</v>
      </c>
      <c r="G77" s="28" t="s">
        <v>1397</v>
      </c>
      <c r="H77" s="28" t="s">
        <v>61</v>
      </c>
      <c r="I77" s="28" t="s">
        <v>49</v>
      </c>
      <c r="J77" s="28" t="s">
        <v>49</v>
      </c>
      <c r="K77" s="28" t="s">
        <v>49</v>
      </c>
      <c r="L77" s="28" t="s">
        <v>2473</v>
      </c>
      <c r="M77" s="28">
        <f t="shared" si="4"/>
        <v>136.5</v>
      </c>
      <c r="N77" s="28">
        <f t="shared" si="5"/>
        <v>91</v>
      </c>
    </row>
    <row r="78" spans="1:19">
      <c r="A78" s="1" t="s">
        <v>1269</v>
      </c>
      <c r="B78" s="1" t="s">
        <v>1226</v>
      </c>
      <c r="C78" s="1" t="s">
        <v>1267</v>
      </c>
      <c r="D78" s="1" t="s">
        <v>211</v>
      </c>
      <c r="E78" s="1" t="s">
        <v>212</v>
      </c>
      <c r="F78" s="3">
        <v>8</v>
      </c>
      <c r="G78" s="4" t="s">
        <v>104</v>
      </c>
      <c r="H78" s="4" t="s">
        <v>61</v>
      </c>
      <c r="I78" s="4" t="s">
        <v>49</v>
      </c>
      <c r="J78" s="4" t="s">
        <v>49</v>
      </c>
      <c r="K78" s="4" t="s">
        <v>26</v>
      </c>
      <c r="M78" s="6">
        <f t="shared" si="4"/>
        <v>164</v>
      </c>
      <c r="N78" s="6">
        <f t="shared" si="5"/>
        <v>56</v>
      </c>
    </row>
    <row r="79" spans="1:19">
      <c r="A79" s="26" t="s">
        <v>1269</v>
      </c>
      <c r="B79" s="26" t="s">
        <v>1224</v>
      </c>
      <c r="C79" s="26" t="s">
        <v>2141</v>
      </c>
      <c r="D79" s="26" t="s">
        <v>212</v>
      </c>
      <c r="E79" s="26" t="s">
        <v>212</v>
      </c>
      <c r="F79" s="27">
        <v>8</v>
      </c>
      <c r="G79" s="28" t="s">
        <v>1397</v>
      </c>
      <c r="H79" s="28" t="s">
        <v>61</v>
      </c>
      <c r="I79" s="28" t="s">
        <v>49</v>
      </c>
      <c r="J79" s="28" t="s">
        <v>49</v>
      </c>
      <c r="K79" s="28" t="s">
        <v>2140</v>
      </c>
      <c r="L79" s="28"/>
      <c r="M79" s="28">
        <f t="shared" si="4"/>
        <v>244</v>
      </c>
      <c r="N79" s="28">
        <f t="shared" si="5"/>
        <v>56</v>
      </c>
    </row>
    <row r="80" spans="1:19">
      <c r="A80" s="10" t="s">
        <v>801</v>
      </c>
      <c r="B80" s="10" t="s">
        <v>1226</v>
      </c>
      <c r="C80" s="10" t="s">
        <v>873</v>
      </c>
      <c r="D80" s="10" t="s">
        <v>211</v>
      </c>
      <c r="E80" s="10" t="s">
        <v>211</v>
      </c>
      <c r="F80" s="11">
        <v>8</v>
      </c>
      <c r="G80" s="6" t="s">
        <v>1801</v>
      </c>
      <c r="H80" s="6" t="s">
        <v>1802</v>
      </c>
      <c r="I80" s="6" t="s">
        <v>49</v>
      </c>
      <c r="J80" s="6" t="s">
        <v>49</v>
      </c>
      <c r="K80" s="6" t="s">
        <v>49</v>
      </c>
      <c r="L80" s="6" t="s">
        <v>1684</v>
      </c>
      <c r="M80" s="6">
        <f t="shared" si="4"/>
        <v>112</v>
      </c>
      <c r="N80" s="6">
        <f t="shared" si="5"/>
        <v>88</v>
      </c>
      <c r="O80" s="6"/>
      <c r="P80" s="13"/>
      <c r="Q80" s="13"/>
      <c r="R80" s="13"/>
    </row>
    <row r="81" spans="1:18">
      <c r="A81" s="26" t="s">
        <v>801</v>
      </c>
      <c r="B81" s="26" t="s">
        <v>2419</v>
      </c>
      <c r="C81" s="26" t="s">
        <v>633</v>
      </c>
      <c r="D81" s="26" t="s">
        <v>2254</v>
      </c>
      <c r="E81" s="26" t="s">
        <v>211</v>
      </c>
      <c r="F81" s="27" t="s">
        <v>1855</v>
      </c>
      <c r="G81" s="28" t="s">
        <v>1803</v>
      </c>
      <c r="H81" s="28" t="s">
        <v>1804</v>
      </c>
      <c r="I81" s="28" t="s">
        <v>49</v>
      </c>
      <c r="J81" s="28" t="s">
        <v>49</v>
      </c>
      <c r="K81" s="28" t="s">
        <v>49</v>
      </c>
      <c r="L81" s="28" t="s">
        <v>1856</v>
      </c>
      <c r="M81" s="28">
        <f t="shared" si="4"/>
        <v>144</v>
      </c>
      <c r="N81" s="28">
        <f t="shared" si="5"/>
        <v>112</v>
      </c>
      <c r="O81" s="6"/>
      <c r="P81" s="13"/>
      <c r="Q81" s="13"/>
      <c r="R81" s="13"/>
    </row>
    <row r="82" spans="1:18">
      <c r="A82" s="10" t="s">
        <v>802</v>
      </c>
      <c r="B82" s="10" t="s">
        <v>1228</v>
      </c>
      <c r="C82" s="10" t="s">
        <v>337</v>
      </c>
      <c r="D82" s="10" t="s">
        <v>211</v>
      </c>
      <c r="E82" s="10" t="s">
        <v>211</v>
      </c>
      <c r="F82" s="11">
        <v>8</v>
      </c>
      <c r="G82" s="6" t="s">
        <v>1805</v>
      </c>
      <c r="H82" s="6" t="s">
        <v>1806</v>
      </c>
      <c r="I82" s="6" t="s">
        <v>49</v>
      </c>
      <c r="J82" s="6" t="s">
        <v>49</v>
      </c>
      <c r="K82" s="6" t="s">
        <v>49</v>
      </c>
      <c r="L82" s="6" t="s">
        <v>1685</v>
      </c>
      <c r="M82" s="6">
        <f t="shared" si="4"/>
        <v>144</v>
      </c>
      <c r="N82" s="6">
        <f t="shared" si="5"/>
        <v>120</v>
      </c>
      <c r="O82" s="6"/>
      <c r="P82" s="13"/>
      <c r="Q82" s="13"/>
      <c r="R82" s="13"/>
    </row>
    <row r="83" spans="1:18">
      <c r="A83" s="26" t="s">
        <v>802</v>
      </c>
      <c r="B83" s="26" t="s">
        <v>2418</v>
      </c>
      <c r="C83" s="26" t="s">
        <v>295</v>
      </c>
      <c r="D83" s="26" t="s">
        <v>2255</v>
      </c>
      <c r="E83" s="26" t="s">
        <v>211</v>
      </c>
      <c r="F83" s="27" t="s">
        <v>1857</v>
      </c>
      <c r="G83" s="28" t="s">
        <v>1807</v>
      </c>
      <c r="H83" s="28" t="s">
        <v>1808</v>
      </c>
      <c r="I83" s="28" t="s">
        <v>49</v>
      </c>
      <c r="J83" s="28" t="s">
        <v>49</v>
      </c>
      <c r="K83" s="28" t="s">
        <v>49</v>
      </c>
      <c r="L83" s="28" t="s">
        <v>1859</v>
      </c>
      <c r="M83" s="28">
        <f t="shared" si="4"/>
        <v>189</v>
      </c>
      <c r="N83" s="28">
        <f t="shared" si="5"/>
        <v>153</v>
      </c>
      <c r="O83" s="6"/>
      <c r="P83" s="13"/>
      <c r="Q83" s="13"/>
      <c r="R83" s="13"/>
    </row>
    <row r="84" spans="1:18">
      <c r="A84" s="10" t="s">
        <v>803</v>
      </c>
      <c r="B84" s="10" t="s">
        <v>1229</v>
      </c>
      <c r="C84" s="10" t="s">
        <v>874</v>
      </c>
      <c r="D84" s="10" t="s">
        <v>211</v>
      </c>
      <c r="E84" s="10" t="s">
        <v>211</v>
      </c>
      <c r="F84" s="11">
        <v>8</v>
      </c>
      <c r="G84" s="6" t="s">
        <v>1809</v>
      </c>
      <c r="H84" s="6" t="s">
        <v>1810</v>
      </c>
      <c r="I84" s="6" t="s">
        <v>49</v>
      </c>
      <c r="J84" s="6" t="s">
        <v>49</v>
      </c>
      <c r="K84" s="6" t="s">
        <v>49</v>
      </c>
      <c r="L84" s="6" t="s">
        <v>1686</v>
      </c>
      <c r="M84" s="6">
        <f t="shared" si="4"/>
        <v>176</v>
      </c>
      <c r="N84" s="6">
        <f t="shared" si="5"/>
        <v>152</v>
      </c>
      <c r="O84" s="6"/>
      <c r="P84" s="13"/>
      <c r="Q84" s="13"/>
      <c r="R84" s="13"/>
    </row>
    <row r="85" spans="1:18">
      <c r="A85" s="26" t="s">
        <v>803</v>
      </c>
      <c r="B85" s="26" t="s">
        <v>2417</v>
      </c>
      <c r="C85" s="26" t="s">
        <v>875</v>
      </c>
      <c r="D85" s="26" t="s">
        <v>2265</v>
      </c>
      <c r="E85" s="26" t="s">
        <v>211</v>
      </c>
      <c r="F85" s="27" t="s">
        <v>1858</v>
      </c>
      <c r="G85" s="28" t="s">
        <v>1811</v>
      </c>
      <c r="H85" s="28" t="s">
        <v>1812</v>
      </c>
      <c r="I85" s="28" t="s">
        <v>49</v>
      </c>
      <c r="J85" s="28" t="s">
        <v>49</v>
      </c>
      <c r="K85" s="28" t="s">
        <v>49</v>
      </c>
      <c r="L85" s="28" t="s">
        <v>1860</v>
      </c>
      <c r="M85" s="28">
        <f t="shared" si="4"/>
        <v>240</v>
      </c>
      <c r="N85" s="28">
        <f t="shared" si="5"/>
        <v>200</v>
      </c>
      <c r="O85" s="6"/>
      <c r="P85" s="13"/>
      <c r="Q85" s="13"/>
      <c r="R85" s="13"/>
    </row>
    <row r="86" spans="1:18">
      <c r="A86" s="10" t="s">
        <v>804</v>
      </c>
      <c r="B86" s="10" t="s">
        <v>1229</v>
      </c>
      <c r="C86" s="10" t="s">
        <v>693</v>
      </c>
      <c r="D86" s="10" t="s">
        <v>211</v>
      </c>
      <c r="E86" s="10" t="s">
        <v>211</v>
      </c>
      <c r="F86" s="11">
        <v>8</v>
      </c>
      <c r="G86" s="6" t="s">
        <v>1813</v>
      </c>
      <c r="H86" s="6" t="s">
        <v>1814</v>
      </c>
      <c r="I86" s="6" t="s">
        <v>49</v>
      </c>
      <c r="J86" s="6" t="s">
        <v>49</v>
      </c>
      <c r="K86" s="6" t="s">
        <v>49</v>
      </c>
      <c r="L86" s="6" t="s">
        <v>1687</v>
      </c>
      <c r="M86" s="6">
        <f t="shared" si="4"/>
        <v>208</v>
      </c>
      <c r="N86" s="6">
        <f t="shared" si="5"/>
        <v>184</v>
      </c>
      <c r="O86" s="6"/>
      <c r="P86" s="13"/>
      <c r="Q86" s="13"/>
      <c r="R86" s="13"/>
    </row>
    <row r="87" spans="1:18">
      <c r="A87" s="26" t="s">
        <v>2285</v>
      </c>
      <c r="B87" s="26" t="s">
        <v>2416</v>
      </c>
      <c r="C87" s="26" t="s">
        <v>511</v>
      </c>
      <c r="D87" s="26" t="s">
        <v>2266</v>
      </c>
      <c r="E87" s="26" t="s">
        <v>211</v>
      </c>
      <c r="F87" s="27" t="s">
        <v>592</v>
      </c>
      <c r="G87" s="28" t="s">
        <v>1815</v>
      </c>
      <c r="H87" s="28" t="s">
        <v>1816</v>
      </c>
      <c r="I87" s="28" t="s">
        <v>49</v>
      </c>
      <c r="J87" s="28" t="s">
        <v>49</v>
      </c>
      <c r="K87" s="28" t="s">
        <v>49</v>
      </c>
      <c r="L87" s="28" t="s">
        <v>1861</v>
      </c>
      <c r="M87" s="28">
        <f t="shared" si="4"/>
        <v>297</v>
      </c>
      <c r="N87" s="28">
        <f t="shared" si="5"/>
        <v>253</v>
      </c>
      <c r="O87" s="6"/>
      <c r="P87" s="13"/>
      <c r="Q87" s="13"/>
      <c r="R87" s="13"/>
    </row>
    <row r="88" spans="1:18">
      <c r="A88" s="1" t="s">
        <v>103</v>
      </c>
      <c r="B88" s="1" t="s">
        <v>1226</v>
      </c>
      <c r="C88" s="1" t="s">
        <v>202</v>
      </c>
      <c r="D88" s="1" t="s">
        <v>211</v>
      </c>
      <c r="E88" s="1" t="s">
        <v>212</v>
      </c>
      <c r="F88" s="3">
        <v>5</v>
      </c>
      <c r="G88" s="4" t="s">
        <v>104</v>
      </c>
      <c r="H88" s="4" t="s">
        <v>61</v>
      </c>
      <c r="I88" s="4" t="s">
        <v>49</v>
      </c>
      <c r="J88" s="4" t="s">
        <v>49</v>
      </c>
      <c r="K88" s="4" t="s">
        <v>49</v>
      </c>
      <c r="M88" s="6">
        <f t="shared" si="4"/>
        <v>50</v>
      </c>
      <c r="N88" s="6">
        <f t="shared" si="5"/>
        <v>35</v>
      </c>
    </row>
    <row r="89" spans="1:18">
      <c r="A89" s="26" t="s">
        <v>103</v>
      </c>
      <c r="B89" s="26" t="s">
        <v>1230</v>
      </c>
      <c r="C89" s="26" t="s">
        <v>202</v>
      </c>
      <c r="D89" s="26" t="s">
        <v>211</v>
      </c>
      <c r="E89" s="26" t="s">
        <v>211</v>
      </c>
      <c r="F89" s="27">
        <v>6</v>
      </c>
      <c r="G89" s="28" t="s">
        <v>173</v>
      </c>
      <c r="H89" s="28" t="s">
        <v>46</v>
      </c>
      <c r="I89" s="28" t="s">
        <v>49</v>
      </c>
      <c r="J89" s="28" t="s">
        <v>49</v>
      </c>
      <c r="K89" s="28" t="s">
        <v>49</v>
      </c>
      <c r="L89" s="28"/>
      <c r="M89" s="28">
        <f t="shared" si="4"/>
        <v>84</v>
      </c>
      <c r="N89" s="28">
        <f t="shared" si="5"/>
        <v>60</v>
      </c>
    </row>
    <row r="90" spans="1:18">
      <c r="A90" s="1" t="s">
        <v>185</v>
      </c>
      <c r="B90" s="1" t="s">
        <v>1226</v>
      </c>
      <c r="C90" s="1" t="s">
        <v>203</v>
      </c>
      <c r="D90" s="1" t="s">
        <v>211</v>
      </c>
      <c r="E90" s="1" t="s">
        <v>211</v>
      </c>
      <c r="F90" s="3">
        <v>8</v>
      </c>
      <c r="G90" s="4" t="s">
        <v>186</v>
      </c>
      <c r="H90" s="4" t="s">
        <v>62</v>
      </c>
      <c r="I90" s="4" t="s">
        <v>49</v>
      </c>
      <c r="J90" s="4" t="s">
        <v>49</v>
      </c>
      <c r="K90" s="4" t="s">
        <v>49</v>
      </c>
      <c r="M90" s="6">
        <f t="shared" si="4"/>
        <v>80</v>
      </c>
      <c r="N90" s="6">
        <f t="shared" si="5"/>
        <v>48</v>
      </c>
    </row>
    <row r="91" spans="1:18">
      <c r="A91" s="26" t="s">
        <v>2323</v>
      </c>
      <c r="B91" s="26" t="s">
        <v>1227</v>
      </c>
      <c r="C91" s="26" t="s">
        <v>243</v>
      </c>
      <c r="D91" s="26" t="s">
        <v>211</v>
      </c>
      <c r="E91" s="26" t="s">
        <v>211</v>
      </c>
      <c r="F91" s="27">
        <v>7</v>
      </c>
      <c r="G91" s="28" t="s">
        <v>241</v>
      </c>
      <c r="H91" s="28" t="s">
        <v>187</v>
      </c>
      <c r="I91" s="28" t="s">
        <v>49</v>
      </c>
      <c r="J91" s="28" t="s">
        <v>49</v>
      </c>
      <c r="K91" s="28" t="s">
        <v>49</v>
      </c>
      <c r="L91" s="28"/>
      <c r="M91" s="28">
        <f t="shared" si="4"/>
        <v>105</v>
      </c>
      <c r="N91" s="28">
        <f t="shared" si="5"/>
        <v>77</v>
      </c>
      <c r="Q91" s="24"/>
      <c r="R91" s="24"/>
    </row>
    <row r="92" spans="1:18">
      <c r="A92" s="1" t="s">
        <v>208</v>
      </c>
      <c r="B92" s="1" t="s">
        <v>1226</v>
      </c>
      <c r="C92" s="1" t="s">
        <v>203</v>
      </c>
      <c r="D92" s="1" t="s">
        <v>211</v>
      </c>
      <c r="E92" s="1" t="s">
        <v>210</v>
      </c>
      <c r="F92" s="3">
        <v>6</v>
      </c>
      <c r="G92" s="4" t="s">
        <v>26</v>
      </c>
      <c r="H92" s="4" t="s">
        <v>68</v>
      </c>
      <c r="I92" s="4" t="s">
        <v>49</v>
      </c>
      <c r="J92" s="4" t="s">
        <v>49</v>
      </c>
      <c r="K92" s="4" t="s">
        <v>49</v>
      </c>
      <c r="M92" s="6">
        <f t="shared" si="4"/>
        <v>63</v>
      </c>
      <c r="N92" s="6">
        <f t="shared" si="5"/>
        <v>33</v>
      </c>
    </row>
    <row r="93" spans="1:18">
      <c r="A93" s="26" t="s">
        <v>208</v>
      </c>
      <c r="B93" s="26" t="s">
        <v>1231</v>
      </c>
      <c r="C93" s="26" t="s">
        <v>240</v>
      </c>
      <c r="D93" s="26" t="s">
        <v>209</v>
      </c>
      <c r="E93" s="26" t="s">
        <v>211</v>
      </c>
      <c r="F93" s="27">
        <v>8</v>
      </c>
      <c r="G93" s="28" t="s">
        <v>244</v>
      </c>
      <c r="H93" s="28" t="s">
        <v>104</v>
      </c>
      <c r="I93" s="28" t="s">
        <v>49</v>
      </c>
      <c r="J93" s="28" t="s">
        <v>49</v>
      </c>
      <c r="K93" s="28" t="s">
        <v>49</v>
      </c>
      <c r="L93" s="28" t="s">
        <v>2465</v>
      </c>
      <c r="M93" s="28">
        <f t="shared" si="4"/>
        <v>120</v>
      </c>
      <c r="N93" s="28">
        <f t="shared" si="5"/>
        <v>80</v>
      </c>
      <c r="Q93" s="23"/>
      <c r="R93" s="23"/>
    </row>
    <row r="94" spans="1:18">
      <c r="A94" s="1" t="s">
        <v>188</v>
      </c>
      <c r="B94" s="1" t="s">
        <v>1226</v>
      </c>
      <c r="C94" s="1" t="s">
        <v>201</v>
      </c>
      <c r="D94" s="1" t="s">
        <v>291</v>
      </c>
      <c r="E94" s="1" t="s">
        <v>212</v>
      </c>
      <c r="F94" s="3">
        <v>3</v>
      </c>
      <c r="G94" s="4" t="s">
        <v>189</v>
      </c>
      <c r="H94" s="4" t="s">
        <v>29</v>
      </c>
      <c r="I94" s="4" t="s">
        <v>49</v>
      </c>
      <c r="J94" s="4" t="s">
        <v>49</v>
      </c>
      <c r="K94" s="4" t="s">
        <v>49</v>
      </c>
      <c r="M94" s="6">
        <f t="shared" si="4"/>
        <v>22.5</v>
      </c>
      <c r="N94" s="6">
        <f t="shared" si="5"/>
        <v>13.5</v>
      </c>
    </row>
    <row r="95" spans="1:18">
      <c r="A95" s="26" t="s">
        <v>819</v>
      </c>
      <c r="B95" s="26" t="s">
        <v>1226</v>
      </c>
      <c r="C95" s="26" t="s">
        <v>297</v>
      </c>
      <c r="D95" s="26" t="s">
        <v>209</v>
      </c>
      <c r="E95" s="26" t="s">
        <v>209</v>
      </c>
      <c r="F95" s="27">
        <v>7</v>
      </c>
      <c r="G95" s="28" t="s">
        <v>245</v>
      </c>
      <c r="H95" s="28" t="s">
        <v>46</v>
      </c>
      <c r="I95" s="28" t="s">
        <v>49</v>
      </c>
      <c r="J95" s="28" t="s">
        <v>49</v>
      </c>
      <c r="K95" s="28" t="s">
        <v>49</v>
      </c>
      <c r="L95" s="28"/>
      <c r="M95" s="28">
        <f t="shared" si="4"/>
        <v>77</v>
      </c>
      <c r="N95" s="28">
        <f t="shared" si="5"/>
        <v>70</v>
      </c>
    </row>
    <row r="96" spans="1:18">
      <c r="A96" s="1" t="s">
        <v>180</v>
      </c>
      <c r="B96" s="1" t="s">
        <v>1226</v>
      </c>
      <c r="C96" s="1" t="s">
        <v>205</v>
      </c>
      <c r="D96" s="1" t="s">
        <v>211</v>
      </c>
      <c r="E96" s="1" t="s">
        <v>212</v>
      </c>
      <c r="F96" s="3">
        <v>8</v>
      </c>
      <c r="G96" s="4" t="s">
        <v>71</v>
      </c>
      <c r="H96" s="4" t="s">
        <v>181</v>
      </c>
      <c r="I96" s="4" t="s">
        <v>49</v>
      </c>
      <c r="J96" s="4" t="s">
        <v>49</v>
      </c>
      <c r="K96" s="4" t="s">
        <v>49</v>
      </c>
      <c r="M96" s="6">
        <f t="shared" si="4"/>
        <v>96</v>
      </c>
      <c r="N96" s="6">
        <f t="shared" si="5"/>
        <v>64</v>
      </c>
    </row>
    <row r="97" spans="1:18">
      <c r="A97" s="26" t="s">
        <v>818</v>
      </c>
      <c r="B97" s="26" t="s">
        <v>1226</v>
      </c>
      <c r="C97" s="26" t="s">
        <v>204</v>
      </c>
      <c r="D97" s="26" t="s">
        <v>293</v>
      </c>
      <c r="E97" s="26" t="s">
        <v>209</v>
      </c>
      <c r="F97" s="27">
        <v>8</v>
      </c>
      <c r="G97" s="28" t="s">
        <v>163</v>
      </c>
      <c r="H97" s="28" t="s">
        <v>182</v>
      </c>
      <c r="I97" s="28" t="s">
        <v>49</v>
      </c>
      <c r="J97" s="28" t="s">
        <v>49</v>
      </c>
      <c r="K97" s="28" t="s">
        <v>49</v>
      </c>
      <c r="L97" s="28" t="s">
        <v>2465</v>
      </c>
      <c r="M97" s="28">
        <f t="shared" si="4"/>
        <v>140</v>
      </c>
      <c r="N97" s="28">
        <f t="shared" si="5"/>
        <v>100</v>
      </c>
    </row>
    <row r="98" spans="1:18">
      <c r="A98" s="1" t="s">
        <v>877</v>
      </c>
      <c r="B98" s="1" t="s">
        <v>1232</v>
      </c>
      <c r="C98" s="1" t="s">
        <v>203</v>
      </c>
      <c r="D98" s="1" t="s">
        <v>412</v>
      </c>
      <c r="E98" s="1" t="s">
        <v>412</v>
      </c>
      <c r="F98" s="3">
        <v>12</v>
      </c>
      <c r="G98" s="4" t="s">
        <v>173</v>
      </c>
      <c r="H98" s="4" t="s">
        <v>867</v>
      </c>
      <c r="I98" s="4" t="s">
        <v>49</v>
      </c>
      <c r="J98" s="4" t="s">
        <v>49</v>
      </c>
      <c r="K98" s="4" t="s">
        <v>49</v>
      </c>
      <c r="M98" s="6">
        <f t="shared" si="4"/>
        <v>168</v>
      </c>
      <c r="N98" s="6">
        <f t="shared" si="5"/>
        <v>108</v>
      </c>
    </row>
    <row r="99" spans="1:18">
      <c r="A99" s="26" t="s">
        <v>877</v>
      </c>
      <c r="B99" s="26" t="s">
        <v>1229</v>
      </c>
      <c r="C99" s="26" t="s">
        <v>633</v>
      </c>
      <c r="D99" s="26" t="s">
        <v>956</v>
      </c>
      <c r="E99" s="26" t="s">
        <v>210</v>
      </c>
      <c r="F99" s="27">
        <v>12</v>
      </c>
      <c r="G99" s="28" t="s">
        <v>146</v>
      </c>
      <c r="H99" s="28" t="s">
        <v>318</v>
      </c>
      <c r="I99" s="28" t="s">
        <v>49</v>
      </c>
      <c r="J99" s="28" t="s">
        <v>49</v>
      </c>
      <c r="K99" s="28" t="s">
        <v>49</v>
      </c>
      <c r="L99" s="28" t="s">
        <v>2474</v>
      </c>
      <c r="M99" s="28">
        <f t="shared" si="4"/>
        <v>180</v>
      </c>
      <c r="N99" s="28">
        <f t="shared" si="5"/>
        <v>120</v>
      </c>
    </row>
    <row r="100" spans="1:18">
      <c r="A100" s="10" t="s">
        <v>162</v>
      </c>
      <c r="B100" s="10" t="s">
        <v>1230</v>
      </c>
      <c r="C100" s="10" t="s">
        <v>202</v>
      </c>
      <c r="D100" s="10" t="s">
        <v>211</v>
      </c>
      <c r="E100" s="10" t="s">
        <v>211</v>
      </c>
      <c r="F100" s="11">
        <v>15</v>
      </c>
      <c r="G100" s="6" t="s">
        <v>151</v>
      </c>
      <c r="H100" s="6" t="s">
        <v>146</v>
      </c>
      <c r="I100" s="6" t="s">
        <v>49</v>
      </c>
      <c r="J100" s="6" t="s">
        <v>49</v>
      </c>
      <c r="K100" s="6" t="s">
        <v>49</v>
      </c>
      <c r="L100" s="6" t="s">
        <v>2475</v>
      </c>
      <c r="M100" s="6">
        <f t="shared" si="4"/>
        <v>637.5</v>
      </c>
      <c r="N100" s="6">
        <f t="shared" si="5"/>
        <v>225</v>
      </c>
      <c r="O100" s="13"/>
      <c r="P100" s="13"/>
      <c r="Q100" s="13"/>
      <c r="R100" s="13"/>
    </row>
    <row r="101" spans="1:18">
      <c r="A101" s="26" t="s">
        <v>162</v>
      </c>
      <c r="B101" s="26" t="s">
        <v>1233</v>
      </c>
      <c r="C101" s="26" t="s">
        <v>1688</v>
      </c>
      <c r="D101" s="26" t="s">
        <v>205</v>
      </c>
      <c r="E101" s="26" t="s">
        <v>209</v>
      </c>
      <c r="F101" s="27">
        <v>12</v>
      </c>
      <c r="G101" s="28" t="s">
        <v>151</v>
      </c>
      <c r="H101" s="28" t="s">
        <v>889</v>
      </c>
      <c r="I101" s="28" t="s">
        <v>49</v>
      </c>
      <c r="J101" s="28" t="s">
        <v>49</v>
      </c>
      <c r="K101" s="28" t="s">
        <v>49</v>
      </c>
      <c r="L101" s="28" t="s">
        <v>2549</v>
      </c>
      <c r="M101" s="28">
        <f t="shared" si="4"/>
        <v>510</v>
      </c>
      <c r="N101" s="28">
        <f t="shared" si="5"/>
        <v>240</v>
      </c>
      <c r="O101" s="13"/>
      <c r="P101" s="13"/>
      <c r="Q101" s="13"/>
      <c r="R101" s="13"/>
    </row>
    <row r="102" spans="1:18">
      <c r="A102" s="10" t="s">
        <v>862</v>
      </c>
      <c r="B102" s="10" t="s">
        <v>1224</v>
      </c>
      <c r="C102" s="10" t="s">
        <v>869</v>
      </c>
      <c r="D102" s="10" t="s">
        <v>212</v>
      </c>
      <c r="E102" s="10" t="s">
        <v>211</v>
      </c>
      <c r="F102" s="11">
        <v>5</v>
      </c>
      <c r="G102" s="6" t="s">
        <v>14</v>
      </c>
      <c r="H102" s="6" t="s">
        <v>13</v>
      </c>
      <c r="I102" s="6" t="s">
        <v>49</v>
      </c>
      <c r="J102" s="6" t="s">
        <v>49</v>
      </c>
      <c r="K102" s="6" t="s">
        <v>49</v>
      </c>
      <c r="L102" s="6" t="s">
        <v>864</v>
      </c>
      <c r="M102" s="6">
        <f t="shared" si="4"/>
        <v>32.5</v>
      </c>
      <c r="N102" s="6">
        <f t="shared" si="5"/>
        <v>25</v>
      </c>
      <c r="O102" s="6"/>
      <c r="P102" s="13"/>
      <c r="Q102" s="13"/>
      <c r="R102" s="13"/>
    </row>
    <row r="103" spans="1:18">
      <c r="A103" s="26" t="s">
        <v>862</v>
      </c>
      <c r="B103" s="26" t="s">
        <v>1224</v>
      </c>
      <c r="C103" s="26" t="s">
        <v>222</v>
      </c>
      <c r="D103" s="26" t="s">
        <v>211</v>
      </c>
      <c r="E103" s="26" t="s">
        <v>211</v>
      </c>
      <c r="F103" s="27">
        <v>6</v>
      </c>
      <c r="G103" s="28" t="s">
        <v>867</v>
      </c>
      <c r="H103" s="28" t="s">
        <v>652</v>
      </c>
      <c r="I103" s="28" t="s">
        <v>49</v>
      </c>
      <c r="J103" s="28" t="s">
        <v>49</v>
      </c>
      <c r="K103" s="28" t="s">
        <v>49</v>
      </c>
      <c r="L103" s="28" t="s">
        <v>1340</v>
      </c>
      <c r="M103" s="28">
        <f t="shared" si="4"/>
        <v>54</v>
      </c>
      <c r="N103" s="28">
        <f t="shared" si="5"/>
        <v>42</v>
      </c>
      <c r="O103" s="6"/>
      <c r="P103" s="13"/>
      <c r="Q103" s="13"/>
      <c r="R103" s="13"/>
    </row>
    <row r="104" spans="1:18">
      <c r="A104" s="10" t="s">
        <v>863</v>
      </c>
      <c r="B104" s="10" t="s">
        <v>1224</v>
      </c>
      <c r="C104" s="10" t="s">
        <v>526</v>
      </c>
      <c r="D104" s="10" t="s">
        <v>212</v>
      </c>
      <c r="E104" s="10" t="s">
        <v>211</v>
      </c>
      <c r="F104" s="11">
        <v>5</v>
      </c>
      <c r="G104" s="6" t="s">
        <v>14</v>
      </c>
      <c r="H104" s="6" t="s">
        <v>13</v>
      </c>
      <c r="I104" s="6" t="s">
        <v>68</v>
      </c>
      <c r="J104" s="6" t="s">
        <v>49</v>
      </c>
      <c r="K104" s="6" t="s">
        <v>49</v>
      </c>
      <c r="L104" s="6"/>
      <c r="M104" s="6">
        <f t="shared" si="4"/>
        <v>60</v>
      </c>
      <c r="N104" s="6">
        <f t="shared" si="5"/>
        <v>25</v>
      </c>
      <c r="O104" s="6"/>
      <c r="P104" s="13"/>
      <c r="Q104" s="13"/>
      <c r="R104" s="13"/>
    </row>
    <row r="105" spans="1:18">
      <c r="A105" s="26" t="s">
        <v>863</v>
      </c>
      <c r="B105" s="26" t="s">
        <v>1224</v>
      </c>
      <c r="C105" s="26" t="s">
        <v>570</v>
      </c>
      <c r="D105" s="26" t="s">
        <v>211</v>
      </c>
      <c r="E105" s="26" t="s">
        <v>211</v>
      </c>
      <c r="F105" s="27">
        <v>6</v>
      </c>
      <c r="G105" s="28" t="s">
        <v>867</v>
      </c>
      <c r="H105" s="28" t="s">
        <v>652</v>
      </c>
      <c r="I105" s="28" t="s">
        <v>1800</v>
      </c>
      <c r="J105" s="28" t="s">
        <v>49</v>
      </c>
      <c r="K105" s="28" t="s">
        <v>49</v>
      </c>
      <c r="L105" s="28"/>
      <c r="M105" s="28">
        <f t="shared" si="4"/>
        <v>144</v>
      </c>
      <c r="N105" s="28">
        <f t="shared" si="5"/>
        <v>42</v>
      </c>
      <c r="O105" s="6"/>
      <c r="P105" s="13"/>
      <c r="Q105" s="13"/>
      <c r="R105" s="13"/>
    </row>
    <row r="106" spans="1:18">
      <c r="A106" s="10" t="s">
        <v>791</v>
      </c>
      <c r="B106" s="10" t="s">
        <v>1230</v>
      </c>
      <c r="C106" s="10" t="s">
        <v>686</v>
      </c>
      <c r="D106" s="10" t="s">
        <v>212</v>
      </c>
      <c r="E106" s="10" t="s">
        <v>209</v>
      </c>
      <c r="F106" s="11">
        <v>4</v>
      </c>
      <c r="G106" s="6" t="s">
        <v>1817</v>
      </c>
      <c r="H106" s="6" t="s">
        <v>1828</v>
      </c>
      <c r="I106" s="6" t="s">
        <v>49</v>
      </c>
      <c r="J106" s="6" t="s">
        <v>49</v>
      </c>
      <c r="K106" s="6" t="s">
        <v>49</v>
      </c>
      <c r="L106" s="6"/>
      <c r="M106" s="6">
        <f t="shared" si="4"/>
        <v>46</v>
      </c>
      <c r="N106" s="6">
        <f t="shared" si="5"/>
        <v>24</v>
      </c>
      <c r="O106" s="6"/>
      <c r="P106" s="13"/>
      <c r="Q106" s="13"/>
      <c r="R106" s="13"/>
    </row>
    <row r="107" spans="1:18">
      <c r="A107" s="26" t="s">
        <v>791</v>
      </c>
      <c r="B107" s="26" t="s">
        <v>1223</v>
      </c>
      <c r="C107" s="26" t="s">
        <v>528</v>
      </c>
      <c r="D107" s="26" t="s">
        <v>2261</v>
      </c>
      <c r="E107" s="26" t="s">
        <v>331</v>
      </c>
      <c r="F107" s="27" t="s">
        <v>367</v>
      </c>
      <c r="G107" s="28" t="s">
        <v>1821</v>
      </c>
      <c r="H107" s="28" t="s">
        <v>1825</v>
      </c>
      <c r="I107" s="28" t="s">
        <v>49</v>
      </c>
      <c r="J107" s="28" t="s">
        <v>49</v>
      </c>
      <c r="K107" s="28" t="s">
        <v>49</v>
      </c>
      <c r="L107" s="28"/>
      <c r="M107" s="28">
        <f t="shared" si="4"/>
        <v>77</v>
      </c>
      <c r="N107" s="28">
        <f t="shared" si="5"/>
        <v>49</v>
      </c>
      <c r="O107" s="6"/>
      <c r="P107" s="13"/>
      <c r="Q107" s="13"/>
      <c r="R107" s="13"/>
    </row>
    <row r="108" spans="1:18">
      <c r="A108" s="10" t="s">
        <v>794</v>
      </c>
      <c r="B108" s="10" t="s">
        <v>1227</v>
      </c>
      <c r="C108" s="10" t="s">
        <v>566</v>
      </c>
      <c r="D108" s="10" t="s">
        <v>212</v>
      </c>
      <c r="E108" s="10" t="s">
        <v>210</v>
      </c>
      <c r="F108" s="11">
        <v>5</v>
      </c>
      <c r="G108" s="6" t="s">
        <v>1818</v>
      </c>
      <c r="H108" s="6" t="s">
        <v>1829</v>
      </c>
      <c r="I108" s="6" t="s">
        <v>49</v>
      </c>
      <c r="J108" s="6" t="s">
        <v>49</v>
      </c>
      <c r="K108" s="6" t="s">
        <v>49</v>
      </c>
      <c r="L108" s="6" t="s">
        <v>785</v>
      </c>
      <c r="M108" s="6">
        <f t="shared" si="4"/>
        <v>82.5</v>
      </c>
      <c r="N108" s="6">
        <f t="shared" si="5"/>
        <v>40</v>
      </c>
      <c r="O108" s="6"/>
      <c r="P108" s="13"/>
      <c r="Q108" s="13"/>
      <c r="R108" s="13"/>
    </row>
    <row r="109" spans="1:18">
      <c r="A109" s="26" t="s">
        <v>794</v>
      </c>
      <c r="B109" s="26" t="s">
        <v>1223</v>
      </c>
      <c r="C109" s="26" t="s">
        <v>575</v>
      </c>
      <c r="D109" s="26" t="s">
        <v>2262</v>
      </c>
      <c r="E109" s="26" t="s">
        <v>331</v>
      </c>
      <c r="F109" s="27" t="s">
        <v>504</v>
      </c>
      <c r="G109" s="28" t="s">
        <v>1822</v>
      </c>
      <c r="H109" s="28" t="s">
        <v>1826</v>
      </c>
      <c r="I109" s="28" t="s">
        <v>49</v>
      </c>
      <c r="J109" s="28" t="s">
        <v>49</v>
      </c>
      <c r="K109" s="28" t="s">
        <v>49</v>
      </c>
      <c r="L109" s="28"/>
      <c r="M109" s="28">
        <f t="shared" si="4"/>
        <v>126</v>
      </c>
      <c r="N109" s="28">
        <f t="shared" si="5"/>
        <v>72</v>
      </c>
      <c r="O109" s="6"/>
      <c r="P109" s="13"/>
      <c r="Q109" s="13"/>
      <c r="R109" s="13"/>
    </row>
    <row r="110" spans="1:18">
      <c r="A110" s="10" t="s">
        <v>795</v>
      </c>
      <c r="B110" s="10" t="s">
        <v>1231</v>
      </c>
      <c r="C110" s="10" t="s">
        <v>931</v>
      </c>
      <c r="D110" s="10" t="s">
        <v>331</v>
      </c>
      <c r="E110" s="10" t="s">
        <v>211</v>
      </c>
      <c r="F110" s="11">
        <v>6</v>
      </c>
      <c r="G110" s="6" t="s">
        <v>1819</v>
      </c>
      <c r="H110" s="6" t="s">
        <v>1830</v>
      </c>
      <c r="I110" s="6" t="s">
        <v>49</v>
      </c>
      <c r="J110" s="6" t="s">
        <v>49</v>
      </c>
      <c r="K110" s="6" t="s">
        <v>49</v>
      </c>
      <c r="L110" s="6" t="s">
        <v>786</v>
      </c>
      <c r="M110" s="6">
        <f t="shared" si="4"/>
        <v>132</v>
      </c>
      <c r="N110" s="6">
        <f t="shared" si="5"/>
        <v>66</v>
      </c>
      <c r="O110" s="6"/>
      <c r="P110" s="13"/>
      <c r="Q110" s="13"/>
      <c r="R110" s="13"/>
    </row>
    <row r="111" spans="1:18">
      <c r="A111" s="26" t="s">
        <v>795</v>
      </c>
      <c r="B111" s="26" t="s">
        <v>1223</v>
      </c>
      <c r="C111" s="26" t="s">
        <v>294</v>
      </c>
      <c r="D111" s="26" t="s">
        <v>2263</v>
      </c>
      <c r="E111" s="26" t="s">
        <v>331</v>
      </c>
      <c r="F111" s="27" t="s">
        <v>405</v>
      </c>
      <c r="G111" s="28" t="s">
        <v>1823</v>
      </c>
      <c r="H111" s="28" t="s">
        <v>1827</v>
      </c>
      <c r="I111" s="28" t="s">
        <v>49</v>
      </c>
      <c r="J111" s="28" t="s">
        <v>49</v>
      </c>
      <c r="K111" s="28" t="s">
        <v>49</v>
      </c>
      <c r="L111" s="28"/>
      <c r="M111" s="28">
        <f t="shared" si="4"/>
        <v>187</v>
      </c>
      <c r="N111" s="28">
        <f t="shared" si="5"/>
        <v>99</v>
      </c>
      <c r="O111" s="6"/>
      <c r="P111" s="13"/>
      <c r="Q111" s="13"/>
      <c r="R111" s="13"/>
    </row>
    <row r="112" spans="1:18">
      <c r="A112" s="10" t="s">
        <v>796</v>
      </c>
      <c r="B112" s="10" t="s">
        <v>1231</v>
      </c>
      <c r="C112" s="10" t="s">
        <v>376</v>
      </c>
      <c r="D112" s="10" t="s">
        <v>211</v>
      </c>
      <c r="E112" s="10" t="s">
        <v>211</v>
      </c>
      <c r="F112" s="11">
        <v>7</v>
      </c>
      <c r="G112" s="6" t="s">
        <v>1820</v>
      </c>
      <c r="H112" s="6" t="s">
        <v>1831</v>
      </c>
      <c r="I112" s="6" t="s">
        <v>49</v>
      </c>
      <c r="J112" s="6" t="s">
        <v>49</v>
      </c>
      <c r="K112" s="6" t="s">
        <v>49</v>
      </c>
      <c r="L112" s="6" t="s">
        <v>790</v>
      </c>
      <c r="M112" s="6">
        <f t="shared" si="4"/>
        <v>199.5</v>
      </c>
      <c r="N112" s="6">
        <f t="shared" si="5"/>
        <v>105</v>
      </c>
      <c r="O112" s="6"/>
      <c r="P112" s="13"/>
      <c r="Q112" s="13"/>
      <c r="R112" s="13"/>
    </row>
    <row r="113" spans="1:19">
      <c r="A113" s="26" t="s">
        <v>2286</v>
      </c>
      <c r="B113" s="26" t="s">
        <v>1223</v>
      </c>
      <c r="C113" s="26" t="s">
        <v>693</v>
      </c>
      <c r="D113" s="26" t="s">
        <v>2264</v>
      </c>
      <c r="E113" s="26" t="s">
        <v>331</v>
      </c>
      <c r="F113" s="27" t="s">
        <v>1862</v>
      </c>
      <c r="G113" s="28" t="s">
        <v>1824</v>
      </c>
      <c r="H113" s="28" t="s">
        <v>1783</v>
      </c>
      <c r="I113" s="28" t="s">
        <v>49</v>
      </c>
      <c r="J113" s="28" t="s">
        <v>49</v>
      </c>
      <c r="K113" s="28" t="s">
        <v>49</v>
      </c>
      <c r="L113" s="28"/>
      <c r="M113" s="28">
        <f t="shared" si="4"/>
        <v>260</v>
      </c>
      <c r="N113" s="28">
        <f t="shared" si="5"/>
        <v>130</v>
      </c>
      <c r="O113" s="6"/>
      <c r="P113" s="13"/>
      <c r="Q113" s="13"/>
      <c r="R113" s="13"/>
      <c r="S113" s="13"/>
    </row>
    <row r="114" spans="1:19">
      <c r="A114" s="1" t="s">
        <v>792</v>
      </c>
      <c r="B114" s="1" t="s">
        <v>1222</v>
      </c>
      <c r="C114" s="1" t="s">
        <v>250</v>
      </c>
      <c r="D114" s="1" t="s">
        <v>248</v>
      </c>
      <c r="E114" s="1" t="s">
        <v>412</v>
      </c>
      <c r="F114" s="3">
        <v>3</v>
      </c>
      <c r="G114" s="4" t="s">
        <v>29</v>
      </c>
      <c r="H114" s="4" t="s">
        <v>20</v>
      </c>
      <c r="I114" s="4" t="s">
        <v>49</v>
      </c>
      <c r="J114" s="4" t="s">
        <v>49</v>
      </c>
      <c r="K114" s="4" t="s">
        <v>49</v>
      </c>
      <c r="M114" s="6">
        <f t="shared" si="4"/>
        <v>13.5</v>
      </c>
      <c r="N114" s="6">
        <f t="shared" si="5"/>
        <v>7.5</v>
      </c>
    </row>
    <row r="115" spans="1:19">
      <c r="A115" s="26" t="s">
        <v>792</v>
      </c>
      <c r="B115" s="26" t="s">
        <v>1223</v>
      </c>
      <c r="C115" s="26" t="s">
        <v>812</v>
      </c>
      <c r="D115" s="26" t="s">
        <v>246</v>
      </c>
      <c r="E115" s="26" t="s">
        <v>331</v>
      </c>
      <c r="F115" s="27">
        <v>4</v>
      </c>
      <c r="G115" s="28" t="s">
        <v>24</v>
      </c>
      <c r="H115" s="28" t="s">
        <v>183</v>
      </c>
      <c r="I115" s="28" t="s">
        <v>49</v>
      </c>
      <c r="J115" s="28" t="s">
        <v>49</v>
      </c>
      <c r="K115" s="28" t="s">
        <v>49</v>
      </c>
      <c r="L115" s="28"/>
      <c r="M115" s="28">
        <f t="shared" si="4"/>
        <v>24</v>
      </c>
      <c r="N115" s="28">
        <f t="shared" si="5"/>
        <v>20</v>
      </c>
    </row>
    <row r="116" spans="1:19">
      <c r="A116" s="1" t="s">
        <v>793</v>
      </c>
      <c r="B116" s="1" t="s">
        <v>1224</v>
      </c>
      <c r="C116" s="1" t="s">
        <v>412</v>
      </c>
      <c r="D116" s="1" t="s">
        <v>212</v>
      </c>
      <c r="E116" s="1" t="s">
        <v>211</v>
      </c>
      <c r="F116" s="3">
        <v>4</v>
      </c>
      <c r="G116" s="4" t="s">
        <v>14</v>
      </c>
      <c r="H116" s="4" t="s">
        <v>13</v>
      </c>
      <c r="I116" s="4" t="s">
        <v>49</v>
      </c>
      <c r="J116" s="4" t="s">
        <v>49</v>
      </c>
      <c r="K116" s="4" t="s">
        <v>49</v>
      </c>
      <c r="M116" s="6">
        <f t="shared" si="4"/>
        <v>26</v>
      </c>
      <c r="N116" s="6">
        <f t="shared" si="5"/>
        <v>20</v>
      </c>
    </row>
    <row r="117" spans="1:19">
      <c r="A117" s="26" t="s">
        <v>793</v>
      </c>
      <c r="B117" s="26" t="s">
        <v>1223</v>
      </c>
      <c r="C117" s="26" t="s">
        <v>331</v>
      </c>
      <c r="D117" s="26" t="s">
        <v>212</v>
      </c>
      <c r="E117" s="26" t="s">
        <v>331</v>
      </c>
      <c r="F117" s="27">
        <v>5</v>
      </c>
      <c r="G117" s="28" t="s">
        <v>181</v>
      </c>
      <c r="H117" s="28" t="s">
        <v>24</v>
      </c>
      <c r="I117" s="28" t="s">
        <v>49</v>
      </c>
      <c r="J117" s="28" t="s">
        <v>49</v>
      </c>
      <c r="K117" s="28" t="s">
        <v>49</v>
      </c>
      <c r="L117" s="28"/>
      <c r="M117" s="28">
        <f t="shared" si="4"/>
        <v>40</v>
      </c>
      <c r="N117" s="28">
        <f t="shared" si="5"/>
        <v>30</v>
      </c>
    </row>
    <row r="118" spans="1:19">
      <c r="A118" s="1" t="s">
        <v>860</v>
      </c>
      <c r="B118" s="1" t="s">
        <v>1224</v>
      </c>
      <c r="C118" s="1" t="s">
        <v>413</v>
      </c>
      <c r="D118" s="1" t="s">
        <v>211</v>
      </c>
      <c r="E118" s="1" t="s">
        <v>212</v>
      </c>
      <c r="F118" s="3">
        <v>8</v>
      </c>
      <c r="G118" s="4" t="s">
        <v>861</v>
      </c>
      <c r="H118" s="4" t="s">
        <v>62</v>
      </c>
      <c r="I118" s="4" t="s">
        <v>49</v>
      </c>
      <c r="J118" s="4" t="s">
        <v>49</v>
      </c>
      <c r="K118" s="4" t="s">
        <v>49</v>
      </c>
      <c r="M118" s="6">
        <f t="shared" si="4"/>
        <v>68</v>
      </c>
      <c r="N118" s="6">
        <f t="shared" si="5"/>
        <v>48</v>
      </c>
    </row>
    <row r="119" spans="1:19">
      <c r="A119" s="26" t="s">
        <v>860</v>
      </c>
      <c r="B119" s="26" t="s">
        <v>1224</v>
      </c>
      <c r="C119" s="26" t="s">
        <v>203</v>
      </c>
      <c r="D119" s="26" t="s">
        <v>211</v>
      </c>
      <c r="E119" s="26" t="s">
        <v>212</v>
      </c>
      <c r="F119" s="27">
        <v>7</v>
      </c>
      <c r="G119" s="28" t="s">
        <v>325</v>
      </c>
      <c r="H119" s="28" t="s">
        <v>181</v>
      </c>
      <c r="I119" s="28" t="s">
        <v>49</v>
      </c>
      <c r="J119" s="28" t="s">
        <v>49</v>
      </c>
      <c r="K119" s="28" t="s">
        <v>49</v>
      </c>
      <c r="L119" s="28"/>
      <c r="M119" s="28">
        <f t="shared" si="4"/>
        <v>80.5</v>
      </c>
      <c r="N119" s="28">
        <f t="shared" si="5"/>
        <v>56</v>
      </c>
    </row>
    <row r="120" spans="1:19">
      <c r="A120" s="1" t="s">
        <v>206</v>
      </c>
      <c r="B120" s="1" t="s">
        <v>1224</v>
      </c>
      <c r="C120" s="1" t="s">
        <v>632</v>
      </c>
      <c r="D120" s="1" t="s">
        <v>212</v>
      </c>
      <c r="E120" s="1" t="s">
        <v>211</v>
      </c>
      <c r="F120" s="3">
        <v>8</v>
      </c>
      <c r="G120" s="4" t="s">
        <v>67</v>
      </c>
      <c r="H120" s="4" t="s">
        <v>61</v>
      </c>
      <c r="I120" s="4" t="s">
        <v>49</v>
      </c>
      <c r="J120" s="4" t="s">
        <v>49</v>
      </c>
      <c r="K120" s="4" t="s">
        <v>49</v>
      </c>
      <c r="M120" s="6">
        <f t="shared" si="4"/>
        <v>92</v>
      </c>
      <c r="N120" s="6">
        <f t="shared" si="5"/>
        <v>56</v>
      </c>
    </row>
    <row r="121" spans="1:19">
      <c r="A121" s="26" t="s">
        <v>206</v>
      </c>
      <c r="B121" s="26" t="s">
        <v>1227</v>
      </c>
      <c r="C121" s="26" t="s">
        <v>871</v>
      </c>
      <c r="D121" s="26" t="s">
        <v>412</v>
      </c>
      <c r="E121" s="26" t="s">
        <v>211</v>
      </c>
      <c r="F121" s="27">
        <v>7</v>
      </c>
      <c r="G121" s="28" t="s">
        <v>958</v>
      </c>
      <c r="H121" s="28" t="s">
        <v>957</v>
      </c>
      <c r="I121" s="28" t="s">
        <v>49</v>
      </c>
      <c r="J121" s="28" t="s">
        <v>49</v>
      </c>
      <c r="K121" s="28" t="s">
        <v>49</v>
      </c>
      <c r="L121" s="28" t="s">
        <v>1350</v>
      </c>
      <c r="M121" s="28">
        <f t="shared" si="4"/>
        <v>112</v>
      </c>
      <c r="N121" s="28">
        <f t="shared" si="5"/>
        <v>77</v>
      </c>
    </row>
    <row r="122" spans="1:19">
      <c r="A122" s="1" t="s">
        <v>59</v>
      </c>
      <c r="B122" s="1" t="s">
        <v>1234</v>
      </c>
      <c r="C122" s="1" t="s">
        <v>529</v>
      </c>
      <c r="D122" s="1" t="s">
        <v>212</v>
      </c>
      <c r="E122" s="1" t="s">
        <v>330</v>
      </c>
      <c r="F122" s="3">
        <v>12</v>
      </c>
      <c r="G122" s="4" t="s">
        <v>60</v>
      </c>
      <c r="H122" s="4" t="s">
        <v>61</v>
      </c>
      <c r="I122" s="4" t="s">
        <v>49</v>
      </c>
      <c r="J122" s="4" t="s">
        <v>49</v>
      </c>
      <c r="K122" s="4" t="s">
        <v>49</v>
      </c>
      <c r="M122" s="6">
        <f t="shared" si="4"/>
        <v>102</v>
      </c>
      <c r="N122" s="6">
        <f t="shared" si="5"/>
        <v>84</v>
      </c>
    </row>
    <row r="123" spans="1:19">
      <c r="A123" s="26" t="s">
        <v>59</v>
      </c>
      <c r="B123" s="26" t="s">
        <v>1220</v>
      </c>
      <c r="C123" s="26" t="s">
        <v>283</v>
      </c>
      <c r="D123" s="26" t="s">
        <v>209</v>
      </c>
      <c r="E123" s="26" t="s">
        <v>330</v>
      </c>
      <c r="F123" s="27">
        <v>17</v>
      </c>
      <c r="G123" s="28" t="s">
        <v>168</v>
      </c>
      <c r="H123" s="28" t="s">
        <v>652</v>
      </c>
      <c r="I123" s="28" t="s">
        <v>49</v>
      </c>
      <c r="J123" s="28" t="s">
        <v>49</v>
      </c>
      <c r="K123" s="28" t="s">
        <v>49</v>
      </c>
      <c r="L123" s="28" t="s">
        <v>2474</v>
      </c>
      <c r="M123" s="28">
        <f t="shared" si="4"/>
        <v>195.5</v>
      </c>
      <c r="N123" s="28">
        <f t="shared" si="5"/>
        <v>119</v>
      </c>
    </row>
    <row r="124" spans="1:19">
      <c r="A124" s="1" t="s">
        <v>50</v>
      </c>
      <c r="B124" s="1" t="s">
        <v>1222</v>
      </c>
      <c r="C124" s="1" t="s">
        <v>686</v>
      </c>
      <c r="D124" s="1" t="s">
        <v>212</v>
      </c>
      <c r="E124" s="1" t="s">
        <v>211</v>
      </c>
      <c r="F124" s="3">
        <v>5</v>
      </c>
      <c r="G124" s="4" t="s">
        <v>14</v>
      </c>
      <c r="H124" s="4" t="s">
        <v>13</v>
      </c>
      <c r="I124" s="4" t="s">
        <v>49</v>
      </c>
      <c r="J124" s="4" t="s">
        <v>49</v>
      </c>
      <c r="K124" s="4" t="s">
        <v>51</v>
      </c>
      <c r="M124" s="6">
        <f t="shared" ref="M124:M186" si="6">IFERROR(LEFT($F124,FIND("+",$F124)-2) + MID($F124, FIND("+",$F124)+1, LEN($F124)-FIND("+",$F124)-1), IFERROR(IF(LEFT($F124,FIND("-",$F124)-2) - MID($F124, FIND("-",$F124)+1, LEN($F124)-FIND("-",$F124)-1) &gt; 0,LEFT($F124,FIND("-",$F124)-2) - MID($F124, FIND("-",$F124)+1, LEN($F124)-FIND("-",$F124)-1),1), $F124)) * (LEFT($G124,FIND("-",$G124)-1) + IFERROR(MID($G124,FIND("-",$G124)+1,FIND("+",$G124)-FIND("-",$G124)-2)+2*MID($G124,FIND("+",$G124)+1,LEN($G124)-FIND("+",$G124)-1),RIGHT($G124, LEN($G124) - FIND("-",$G124))) + LEFT($I124,FIND("-",$I124)-1) + IFERROR(MID($I124,FIND("-",$I124)+1,FIND("+",$I124)-FIND("-",$I124)-2)+2*MID($I124,FIND("+",$I124)+1,LEN($I124)-FIND("+",$I124)-1),RIGHT($I124, LEN($I124) - FIND("-",$I124))) + LEFT($J124,FIND("-",$J124)-1) + IFERROR(MID($J124,FIND("-",$J124)+1,FIND("+",$J124)-FIND("-",$J124)-2)+2*MID($J124,FIND("+",$J124)+1,LEN($J124)-FIND("+",$J124)-1),RIGHT($J124, LEN($J124) - FIND("-",$J124))) + LEFT($K124,FIND("-",$K124)-1) + IFERROR(MID($K124,FIND("-",$K124)+1,FIND("+",$K124)-FIND("-",$K124)-2)+2*MID($K124,FIND("+",$K124)+1,LEN($K124)-FIND("+",$K124)-1),RIGHT($K124, LEN($K124) - FIND("-",$K124)))) / 2</f>
        <v>182.5</v>
      </c>
      <c r="N124" s="6">
        <f t="shared" ref="N124:N186" si="7">IFERROR(LEFT($F124,FIND("+",$F124)-2) + MID($F124, FIND("+",$F124)+1, LEN($F124)-FIND("+",$F124)-1), IFERROR(IF(LEFT($F124,FIND("-",$F124)-2) - MID($F124, FIND("-",$F124)+1, LEN($F124)-FIND("-",$F124)-1) &gt; 0,LEFT($F124,FIND("-",$F124)-2) - MID($F124, FIND("-",$F124)+1, LEN($F124)-FIND("-",$F124)-1),1), $F124)) * (LEFT($H124,FIND("-",$H124)-1)+IFERROR(MID($H124,FIND("-",$H124)+1,FIND("+",$H124)-FIND("-",$H124)-2)+2*MID($H124,FIND("+",$H124)+1,LEN($H124)-FIND("+",$H124)-1),RIGHT($H124, LEN($H124) - FIND("-",$H124)))) / 2</f>
        <v>25</v>
      </c>
    </row>
    <row r="125" spans="1:19">
      <c r="A125" s="26" t="s">
        <v>50</v>
      </c>
      <c r="B125" s="48" t="s">
        <v>1248</v>
      </c>
      <c r="C125" s="26" t="s">
        <v>1313</v>
      </c>
      <c r="D125" s="26" t="s">
        <v>412</v>
      </c>
      <c r="E125" s="26" t="s">
        <v>212</v>
      </c>
      <c r="F125" s="27">
        <v>7</v>
      </c>
      <c r="G125" s="28" t="s">
        <v>1528</v>
      </c>
      <c r="H125" s="28" t="s">
        <v>1402</v>
      </c>
      <c r="I125" s="28" t="s">
        <v>49</v>
      </c>
      <c r="J125" s="28" t="s">
        <v>49</v>
      </c>
      <c r="K125" s="28" t="s">
        <v>147</v>
      </c>
      <c r="L125" s="28" t="s">
        <v>1509</v>
      </c>
      <c r="M125" s="28">
        <f t="shared" si="6"/>
        <v>276.5</v>
      </c>
      <c r="N125" s="28">
        <f t="shared" si="7"/>
        <v>52.5</v>
      </c>
    </row>
    <row r="126" spans="1:19" s="13" customFormat="1">
      <c r="A126" s="10" t="s">
        <v>8</v>
      </c>
      <c r="B126" s="10" t="s">
        <v>1222</v>
      </c>
      <c r="C126" s="10" t="s">
        <v>687</v>
      </c>
      <c r="D126" s="1" t="s">
        <v>212</v>
      </c>
      <c r="E126" s="10" t="s">
        <v>211</v>
      </c>
      <c r="F126" s="11">
        <v>5</v>
      </c>
      <c r="G126" s="6" t="s">
        <v>14</v>
      </c>
      <c r="H126" s="6" t="s">
        <v>13</v>
      </c>
      <c r="I126" s="6" t="s">
        <v>49</v>
      </c>
      <c r="J126" s="6" t="s">
        <v>16</v>
      </c>
      <c r="K126" s="6" t="s">
        <v>49</v>
      </c>
      <c r="L126" s="6"/>
      <c r="M126" s="6">
        <f t="shared" si="6"/>
        <v>157.5</v>
      </c>
      <c r="N126" s="6">
        <f t="shared" si="7"/>
        <v>25</v>
      </c>
    </row>
    <row r="127" spans="1:19">
      <c r="A127" s="26" t="s">
        <v>8</v>
      </c>
      <c r="B127" s="48" t="s">
        <v>1249</v>
      </c>
      <c r="C127" s="26" t="s">
        <v>2346</v>
      </c>
      <c r="D127" s="26" t="s">
        <v>412</v>
      </c>
      <c r="E127" s="26" t="s">
        <v>212</v>
      </c>
      <c r="F127" s="27">
        <v>7</v>
      </c>
      <c r="G127" s="28" t="s">
        <v>1528</v>
      </c>
      <c r="H127" s="28" t="s">
        <v>1402</v>
      </c>
      <c r="I127" s="28" t="s">
        <v>49</v>
      </c>
      <c r="J127" s="28" t="s">
        <v>16</v>
      </c>
      <c r="K127" s="28" t="s">
        <v>49</v>
      </c>
      <c r="L127" s="28" t="s">
        <v>1342</v>
      </c>
      <c r="M127" s="28">
        <f t="shared" si="6"/>
        <v>241.5</v>
      </c>
      <c r="N127" s="28">
        <f t="shared" si="7"/>
        <v>52.5</v>
      </c>
    </row>
    <row r="128" spans="1:19">
      <c r="A128" s="1" t="s">
        <v>7</v>
      </c>
      <c r="B128" s="1" t="s">
        <v>1222</v>
      </c>
      <c r="C128" s="1" t="s">
        <v>931</v>
      </c>
      <c r="D128" s="1" t="s">
        <v>212</v>
      </c>
      <c r="E128" s="1" t="s">
        <v>211</v>
      </c>
      <c r="F128" s="3">
        <v>5</v>
      </c>
      <c r="G128" s="4" t="s">
        <v>14</v>
      </c>
      <c r="H128" s="4" t="s">
        <v>13</v>
      </c>
      <c r="I128" s="4" t="s">
        <v>15</v>
      </c>
      <c r="J128" s="4" t="s">
        <v>49</v>
      </c>
      <c r="K128" s="4" t="s">
        <v>49</v>
      </c>
      <c r="M128" s="6">
        <f t="shared" si="6"/>
        <v>232.5</v>
      </c>
      <c r="N128" s="6">
        <f t="shared" si="7"/>
        <v>25</v>
      </c>
      <c r="O128" s="13"/>
      <c r="P128" s="13"/>
      <c r="Q128" s="13"/>
      <c r="R128" s="13"/>
    </row>
    <row r="129" spans="1:19">
      <c r="A129" s="26" t="s">
        <v>7</v>
      </c>
      <c r="B129" s="48" t="s">
        <v>1240</v>
      </c>
      <c r="C129" s="26" t="s">
        <v>608</v>
      </c>
      <c r="D129" s="26" t="s">
        <v>412</v>
      </c>
      <c r="E129" s="26" t="s">
        <v>212</v>
      </c>
      <c r="F129" s="27">
        <v>7</v>
      </c>
      <c r="G129" s="28" t="s">
        <v>1528</v>
      </c>
      <c r="H129" s="28" t="s">
        <v>1402</v>
      </c>
      <c r="I129" s="28" t="s">
        <v>107</v>
      </c>
      <c r="J129" s="28" t="s">
        <v>49</v>
      </c>
      <c r="K129" s="28" t="s">
        <v>49</v>
      </c>
      <c r="L129" s="28" t="s">
        <v>1401</v>
      </c>
      <c r="M129" s="28">
        <f t="shared" si="6"/>
        <v>259</v>
      </c>
      <c r="N129" s="28">
        <f t="shared" si="7"/>
        <v>52.5</v>
      </c>
      <c r="O129" s="6"/>
      <c r="P129" s="13"/>
      <c r="Q129" s="13"/>
      <c r="R129" s="13"/>
    </row>
    <row r="130" spans="1:19">
      <c r="A130" s="1" t="s">
        <v>959</v>
      </c>
      <c r="B130" s="1" t="s">
        <v>1227</v>
      </c>
      <c r="C130" s="1" t="s">
        <v>412</v>
      </c>
      <c r="D130" s="1" t="s">
        <v>212</v>
      </c>
      <c r="E130" s="1" t="s">
        <v>211</v>
      </c>
      <c r="F130" s="3">
        <v>6</v>
      </c>
      <c r="G130" s="4" t="s">
        <v>49</v>
      </c>
      <c r="H130" s="4" t="s">
        <v>49</v>
      </c>
      <c r="I130" s="4" t="s">
        <v>49</v>
      </c>
      <c r="J130" s="4" t="s">
        <v>49</v>
      </c>
      <c r="K130" s="4" t="s">
        <v>49</v>
      </c>
      <c r="L130" s="4" t="s">
        <v>960</v>
      </c>
      <c r="M130" s="6">
        <f t="shared" si="6"/>
        <v>0</v>
      </c>
      <c r="N130" s="6">
        <f t="shared" si="7"/>
        <v>0</v>
      </c>
    </row>
    <row r="131" spans="1:19">
      <c r="A131" s="26" t="s">
        <v>959</v>
      </c>
      <c r="B131" s="26" t="s">
        <v>1226</v>
      </c>
      <c r="C131" s="26" t="s">
        <v>1336</v>
      </c>
      <c r="D131" s="26" t="s">
        <v>201</v>
      </c>
      <c r="E131" s="26" t="s">
        <v>211</v>
      </c>
      <c r="F131" s="27">
        <v>7</v>
      </c>
      <c r="G131" s="28" t="s">
        <v>1683</v>
      </c>
      <c r="H131" s="28" t="s">
        <v>146</v>
      </c>
      <c r="I131" s="28" t="s">
        <v>49</v>
      </c>
      <c r="J131" s="28" t="s">
        <v>867</v>
      </c>
      <c r="K131" s="28" t="s">
        <v>49</v>
      </c>
      <c r="L131" s="28" t="s">
        <v>2476</v>
      </c>
      <c r="M131" s="28">
        <f t="shared" si="6"/>
        <v>231</v>
      </c>
      <c r="N131" s="28">
        <f t="shared" si="7"/>
        <v>105</v>
      </c>
    </row>
    <row r="132" spans="1:19">
      <c r="A132" s="10" t="s">
        <v>797</v>
      </c>
      <c r="B132" s="10" t="s">
        <v>1224</v>
      </c>
      <c r="C132" s="10" t="s">
        <v>820</v>
      </c>
      <c r="D132" s="10" t="s">
        <v>331</v>
      </c>
      <c r="E132" s="10" t="s">
        <v>210</v>
      </c>
      <c r="F132" s="11">
        <v>5</v>
      </c>
      <c r="G132" s="6" t="s">
        <v>1834</v>
      </c>
      <c r="H132" s="6" t="s">
        <v>1837</v>
      </c>
      <c r="I132" s="6" t="s">
        <v>49</v>
      </c>
      <c r="J132" s="6" t="s">
        <v>49</v>
      </c>
      <c r="K132" s="6" t="s">
        <v>49</v>
      </c>
      <c r="L132" s="6" t="s">
        <v>786</v>
      </c>
      <c r="M132" s="6">
        <f t="shared" si="6"/>
        <v>35</v>
      </c>
      <c r="N132" s="6">
        <f t="shared" si="7"/>
        <v>35</v>
      </c>
      <c r="O132" s="6"/>
      <c r="P132" s="13"/>
      <c r="Q132" s="13"/>
      <c r="R132" s="13"/>
    </row>
    <row r="133" spans="1:19">
      <c r="A133" s="26" t="s">
        <v>2321</v>
      </c>
      <c r="B133" s="26" t="s">
        <v>1222</v>
      </c>
      <c r="C133" s="26" t="s">
        <v>204</v>
      </c>
      <c r="D133" s="26" t="s">
        <v>2227</v>
      </c>
      <c r="E133" s="26" t="s">
        <v>212</v>
      </c>
      <c r="F133" s="27" t="s">
        <v>1472</v>
      </c>
      <c r="G133" s="28" t="s">
        <v>1826</v>
      </c>
      <c r="H133" s="28" t="s">
        <v>1843</v>
      </c>
      <c r="I133" s="28" t="s">
        <v>49</v>
      </c>
      <c r="J133" s="28" t="s">
        <v>49</v>
      </c>
      <c r="K133" s="28" t="s">
        <v>49</v>
      </c>
      <c r="L133" s="28" t="s">
        <v>972</v>
      </c>
      <c r="M133" s="28">
        <f t="shared" si="6"/>
        <v>64</v>
      </c>
      <c r="N133" s="28">
        <f t="shared" si="7"/>
        <v>56</v>
      </c>
      <c r="O133" s="6"/>
      <c r="P133" s="13"/>
      <c r="Q133" s="13"/>
      <c r="R133" s="13"/>
    </row>
    <row r="134" spans="1:19">
      <c r="A134" s="10" t="s">
        <v>798</v>
      </c>
      <c r="B134" s="10" t="s">
        <v>1230</v>
      </c>
      <c r="C134" s="10" t="s">
        <v>373</v>
      </c>
      <c r="D134" s="10" t="s">
        <v>331</v>
      </c>
      <c r="E134" s="10" t="s">
        <v>562</v>
      </c>
      <c r="F134" s="11">
        <v>6</v>
      </c>
      <c r="G134" s="6" t="s">
        <v>1842</v>
      </c>
      <c r="H134" s="6" t="s">
        <v>1836</v>
      </c>
      <c r="I134" s="6" t="s">
        <v>49</v>
      </c>
      <c r="J134" s="6" t="s">
        <v>49</v>
      </c>
      <c r="K134" s="6" t="s">
        <v>49</v>
      </c>
      <c r="L134" s="6" t="s">
        <v>790</v>
      </c>
      <c r="M134" s="6">
        <f t="shared" si="6"/>
        <v>69</v>
      </c>
      <c r="N134" s="6">
        <f t="shared" si="7"/>
        <v>57</v>
      </c>
      <c r="O134" s="6"/>
      <c r="P134" s="13"/>
      <c r="Q134" s="13"/>
      <c r="R134" s="13"/>
    </row>
    <row r="135" spans="1:19">
      <c r="A135" s="26" t="s">
        <v>2320</v>
      </c>
      <c r="B135" s="26" t="s">
        <v>1222</v>
      </c>
      <c r="C135" s="26" t="s">
        <v>512</v>
      </c>
      <c r="D135" s="26" t="s">
        <v>2228</v>
      </c>
      <c r="E135" s="26" t="s">
        <v>212</v>
      </c>
      <c r="F135" s="27" t="s">
        <v>1473</v>
      </c>
      <c r="G135" s="28" t="s">
        <v>1783</v>
      </c>
      <c r="H135" s="28" t="s">
        <v>1835</v>
      </c>
      <c r="I135" s="28" t="s">
        <v>49</v>
      </c>
      <c r="J135" s="28" t="s">
        <v>49</v>
      </c>
      <c r="K135" s="28" t="s">
        <v>49</v>
      </c>
      <c r="L135" s="28" t="s">
        <v>972</v>
      </c>
      <c r="M135" s="28">
        <f t="shared" si="6"/>
        <v>100</v>
      </c>
      <c r="N135" s="28">
        <f t="shared" si="7"/>
        <v>90</v>
      </c>
      <c r="O135" s="6"/>
      <c r="P135" s="13"/>
      <c r="Q135" s="13"/>
      <c r="R135" s="13"/>
    </row>
    <row r="136" spans="1:19">
      <c r="A136" s="10" t="s">
        <v>799</v>
      </c>
      <c r="B136" s="10" t="s">
        <v>1227</v>
      </c>
      <c r="C136" s="10" t="s">
        <v>821</v>
      </c>
      <c r="D136" s="10" t="s">
        <v>212</v>
      </c>
      <c r="E136" s="10" t="s">
        <v>211</v>
      </c>
      <c r="F136" s="11">
        <v>6</v>
      </c>
      <c r="G136" s="6" t="s">
        <v>1841</v>
      </c>
      <c r="H136" s="6" t="s">
        <v>1838</v>
      </c>
      <c r="I136" s="6" t="s">
        <v>49</v>
      </c>
      <c r="J136" s="6" t="s">
        <v>49</v>
      </c>
      <c r="K136" s="6" t="s">
        <v>49</v>
      </c>
      <c r="L136" s="6" t="s">
        <v>808</v>
      </c>
      <c r="M136" s="6">
        <f t="shared" si="6"/>
        <v>102</v>
      </c>
      <c r="N136" s="6">
        <f t="shared" si="7"/>
        <v>87</v>
      </c>
      <c r="O136" s="6"/>
      <c r="P136" s="13"/>
      <c r="Q136" s="13"/>
      <c r="R136" s="13"/>
    </row>
    <row r="137" spans="1:19">
      <c r="A137" s="26" t="s">
        <v>2319</v>
      </c>
      <c r="B137" s="26" t="s">
        <v>1222</v>
      </c>
      <c r="C137" s="26" t="s">
        <v>607</v>
      </c>
      <c r="D137" s="26" t="s">
        <v>2229</v>
      </c>
      <c r="E137" s="26" t="s">
        <v>212</v>
      </c>
      <c r="F137" s="27" t="s">
        <v>1474</v>
      </c>
      <c r="G137" s="28" t="s">
        <v>1844</v>
      </c>
      <c r="H137" s="28" t="s">
        <v>1845</v>
      </c>
      <c r="I137" s="28" t="s">
        <v>49</v>
      </c>
      <c r="J137" s="28" t="s">
        <v>49</v>
      </c>
      <c r="K137" s="28" t="s">
        <v>49</v>
      </c>
      <c r="L137" s="28" t="s">
        <v>972</v>
      </c>
      <c r="M137" s="28">
        <f t="shared" si="6"/>
        <v>144</v>
      </c>
      <c r="N137" s="28">
        <f t="shared" si="7"/>
        <v>132</v>
      </c>
      <c r="O137" s="6"/>
      <c r="P137" s="13"/>
      <c r="Q137" s="13"/>
      <c r="R137" s="13"/>
    </row>
    <row r="138" spans="1:19">
      <c r="A138" s="10" t="s">
        <v>800</v>
      </c>
      <c r="B138" s="10" t="s">
        <v>1227</v>
      </c>
      <c r="C138" s="10" t="s">
        <v>822</v>
      </c>
      <c r="D138" s="10" t="s">
        <v>212</v>
      </c>
      <c r="E138" s="10" t="s">
        <v>331</v>
      </c>
      <c r="F138" s="11">
        <v>7</v>
      </c>
      <c r="G138" s="6" t="s">
        <v>1840</v>
      </c>
      <c r="H138" s="6" t="s">
        <v>1839</v>
      </c>
      <c r="I138" s="6" t="s">
        <v>49</v>
      </c>
      <c r="J138" s="6" t="s">
        <v>49</v>
      </c>
      <c r="K138" s="6" t="s">
        <v>49</v>
      </c>
      <c r="L138" s="6" t="s">
        <v>807</v>
      </c>
      <c r="M138" s="6">
        <f t="shared" si="6"/>
        <v>154</v>
      </c>
      <c r="N138" s="6">
        <f t="shared" si="7"/>
        <v>136.5</v>
      </c>
      <c r="O138" s="6"/>
      <c r="P138" s="13"/>
      <c r="Q138" s="13"/>
      <c r="R138" s="13"/>
    </row>
    <row r="139" spans="1:19">
      <c r="A139" s="26" t="s">
        <v>2318</v>
      </c>
      <c r="B139" s="26" t="s">
        <v>1222</v>
      </c>
      <c r="C139" s="26" t="s">
        <v>376</v>
      </c>
      <c r="D139" s="26" t="s">
        <v>2230</v>
      </c>
      <c r="E139" s="26" t="s">
        <v>212</v>
      </c>
      <c r="F139" s="27" t="s">
        <v>1475</v>
      </c>
      <c r="G139" s="28" t="s">
        <v>1846</v>
      </c>
      <c r="H139" s="28" t="s">
        <v>1847</v>
      </c>
      <c r="I139" s="28" t="s">
        <v>49</v>
      </c>
      <c r="J139" s="28" t="s">
        <v>49</v>
      </c>
      <c r="K139" s="28" t="s">
        <v>49</v>
      </c>
      <c r="L139" s="28" t="s">
        <v>972</v>
      </c>
      <c r="M139" s="28">
        <f t="shared" si="6"/>
        <v>196</v>
      </c>
      <c r="N139" s="28">
        <f t="shared" si="7"/>
        <v>182</v>
      </c>
      <c r="O139" s="6"/>
      <c r="P139" s="13"/>
      <c r="Q139" s="13"/>
      <c r="R139" s="13"/>
    </row>
    <row r="140" spans="1:19">
      <c r="A140" s="10" t="s">
        <v>116</v>
      </c>
      <c r="B140" s="10" t="s">
        <v>1222</v>
      </c>
      <c r="C140" s="10" t="s">
        <v>379</v>
      </c>
      <c r="D140" s="10" t="s">
        <v>247</v>
      </c>
      <c r="E140" s="10" t="s">
        <v>211</v>
      </c>
      <c r="F140" s="11">
        <v>3</v>
      </c>
      <c r="G140" s="6" t="s">
        <v>18</v>
      </c>
      <c r="H140" s="6" t="s">
        <v>20</v>
      </c>
      <c r="I140" s="6" t="s">
        <v>49</v>
      </c>
      <c r="J140" s="6" t="s">
        <v>49</v>
      </c>
      <c r="K140" s="6" t="s">
        <v>49</v>
      </c>
      <c r="L140" s="6"/>
      <c r="M140" s="6">
        <f t="shared" si="6"/>
        <v>6</v>
      </c>
      <c r="N140" s="6">
        <f t="shared" si="7"/>
        <v>7.5</v>
      </c>
      <c r="O140" s="13"/>
      <c r="P140" s="13"/>
      <c r="Q140" s="13"/>
      <c r="R140" s="13"/>
    </row>
    <row r="141" spans="1:19">
      <c r="A141" s="26" t="s">
        <v>115</v>
      </c>
      <c r="B141" s="26" t="s">
        <v>1222</v>
      </c>
      <c r="C141" s="26" t="s">
        <v>249</v>
      </c>
      <c r="D141" s="26" t="s">
        <v>246</v>
      </c>
      <c r="E141" s="26" t="s">
        <v>212</v>
      </c>
      <c r="F141" s="27">
        <v>5</v>
      </c>
      <c r="G141" s="28" t="s">
        <v>231</v>
      </c>
      <c r="H141" s="28" t="s">
        <v>193</v>
      </c>
      <c r="I141" s="28" t="s">
        <v>49</v>
      </c>
      <c r="J141" s="28" t="s">
        <v>49</v>
      </c>
      <c r="K141" s="28" t="s">
        <v>49</v>
      </c>
      <c r="L141" s="28" t="s">
        <v>971</v>
      </c>
      <c r="M141" s="28">
        <f t="shared" si="6"/>
        <v>22.5</v>
      </c>
      <c r="N141" s="28">
        <f t="shared" si="7"/>
        <v>20</v>
      </c>
      <c r="O141" s="6"/>
      <c r="P141" s="13"/>
      <c r="Q141" s="13"/>
      <c r="R141" s="13"/>
      <c r="S141" s="13"/>
    </row>
    <row r="142" spans="1:19">
      <c r="A142" s="10" t="s">
        <v>102</v>
      </c>
      <c r="B142" s="10" t="s">
        <v>1222</v>
      </c>
      <c r="C142" s="10" t="s">
        <v>212</v>
      </c>
      <c r="D142" s="10" t="s">
        <v>212</v>
      </c>
      <c r="E142" s="10" t="s">
        <v>211</v>
      </c>
      <c r="F142" s="11">
        <v>5</v>
      </c>
      <c r="G142" s="6" t="s">
        <v>100</v>
      </c>
      <c r="H142" s="6" t="s">
        <v>29</v>
      </c>
      <c r="I142" s="6" t="s">
        <v>49</v>
      </c>
      <c r="J142" s="6" t="s">
        <v>49</v>
      </c>
      <c r="K142" s="6" t="s">
        <v>49</v>
      </c>
      <c r="L142" s="6"/>
      <c r="M142" s="6">
        <f t="shared" si="6"/>
        <v>15</v>
      </c>
      <c r="N142" s="6">
        <f t="shared" si="7"/>
        <v>22.5</v>
      </c>
      <c r="O142" s="13"/>
      <c r="P142" s="13"/>
      <c r="Q142" s="13"/>
      <c r="R142" s="13"/>
    </row>
    <row r="143" spans="1:19">
      <c r="A143" s="26" t="s">
        <v>102</v>
      </c>
      <c r="B143" s="26" t="s">
        <v>1222</v>
      </c>
      <c r="C143" s="26" t="s">
        <v>657</v>
      </c>
      <c r="D143" s="26" t="s">
        <v>212</v>
      </c>
      <c r="E143" s="26" t="s">
        <v>212</v>
      </c>
      <c r="F143" s="27">
        <v>6</v>
      </c>
      <c r="G143" s="28" t="s">
        <v>24</v>
      </c>
      <c r="H143" s="28" t="s">
        <v>110</v>
      </c>
      <c r="I143" s="28" t="s">
        <v>49</v>
      </c>
      <c r="J143" s="28" t="s">
        <v>49</v>
      </c>
      <c r="K143" s="28" t="s">
        <v>49</v>
      </c>
      <c r="L143" s="28" t="s">
        <v>972</v>
      </c>
      <c r="M143" s="28">
        <f t="shared" si="6"/>
        <v>36</v>
      </c>
      <c r="N143" s="28">
        <f t="shared" si="7"/>
        <v>30</v>
      </c>
      <c r="O143" s="13"/>
      <c r="P143" s="13"/>
      <c r="Q143" s="13"/>
      <c r="R143" s="13"/>
    </row>
    <row r="144" spans="1:19" s="13" customFormat="1">
      <c r="A144" s="10" t="s">
        <v>172</v>
      </c>
      <c r="B144" s="10" t="s">
        <v>1220</v>
      </c>
      <c r="C144" s="10" t="s">
        <v>656</v>
      </c>
      <c r="D144" s="10" t="s">
        <v>211</v>
      </c>
      <c r="E144" s="10" t="s">
        <v>212</v>
      </c>
      <c r="F144" s="11">
        <v>8</v>
      </c>
      <c r="G144" s="6" t="s">
        <v>69</v>
      </c>
      <c r="H144" s="6" t="s">
        <v>174</v>
      </c>
      <c r="I144" s="6" t="s">
        <v>49</v>
      </c>
      <c r="J144" s="6" t="s">
        <v>49</v>
      </c>
      <c r="K144" s="6" t="s">
        <v>49</v>
      </c>
      <c r="L144" s="6"/>
      <c r="M144" s="6">
        <f t="shared" si="6"/>
        <v>28</v>
      </c>
      <c r="N144" s="6">
        <f t="shared" si="7"/>
        <v>44</v>
      </c>
    </row>
    <row r="145" spans="1:20">
      <c r="A145" s="26" t="s">
        <v>172</v>
      </c>
      <c r="B145" s="26" t="s">
        <v>1223</v>
      </c>
      <c r="C145" s="26" t="s">
        <v>1869</v>
      </c>
      <c r="D145" s="26" t="s">
        <v>211</v>
      </c>
      <c r="E145" s="26" t="s">
        <v>291</v>
      </c>
      <c r="F145" s="27">
        <v>8</v>
      </c>
      <c r="G145" s="28" t="s">
        <v>190</v>
      </c>
      <c r="H145" s="28" t="s">
        <v>113</v>
      </c>
      <c r="I145" s="28" t="s">
        <v>49</v>
      </c>
      <c r="J145" s="28" t="s">
        <v>49</v>
      </c>
      <c r="K145" s="28" t="s">
        <v>49</v>
      </c>
      <c r="L145" s="28" t="s">
        <v>973</v>
      </c>
      <c r="M145" s="28">
        <f t="shared" si="6"/>
        <v>76</v>
      </c>
      <c r="N145" s="28">
        <f t="shared" si="7"/>
        <v>44</v>
      </c>
      <c r="O145" s="13"/>
      <c r="P145" s="13"/>
      <c r="Q145" s="13"/>
      <c r="R145" s="13"/>
      <c r="S145" s="13"/>
      <c r="T145" s="13"/>
    </row>
    <row r="146" spans="1:20" s="13" customFormat="1">
      <c r="A146" s="40" t="s">
        <v>648</v>
      </c>
      <c r="B146" s="40" t="s">
        <v>1223</v>
      </c>
      <c r="C146" s="40" t="s">
        <v>338</v>
      </c>
      <c r="D146" s="40" t="s">
        <v>412</v>
      </c>
      <c r="E146" s="40" t="s">
        <v>630</v>
      </c>
      <c r="F146" s="42">
        <v>11</v>
      </c>
      <c r="G146" s="39" t="s">
        <v>651</v>
      </c>
      <c r="H146" s="39" t="s">
        <v>652</v>
      </c>
      <c r="I146" s="39" t="s">
        <v>49</v>
      </c>
      <c r="J146" s="39" t="s">
        <v>49</v>
      </c>
      <c r="K146" s="39" t="s">
        <v>49</v>
      </c>
      <c r="L146" s="39" t="s">
        <v>2477</v>
      </c>
      <c r="M146" s="39">
        <f t="shared" si="6"/>
        <v>132</v>
      </c>
      <c r="N146" s="39">
        <f t="shared" si="7"/>
        <v>77</v>
      </c>
    </row>
    <row r="147" spans="1:20">
      <c r="A147" s="10" t="s">
        <v>114</v>
      </c>
      <c r="B147" s="10" t="s">
        <v>1222</v>
      </c>
      <c r="C147" s="10" t="s">
        <v>247</v>
      </c>
      <c r="D147" s="10" t="s">
        <v>247</v>
      </c>
      <c r="E147" s="10" t="s">
        <v>211</v>
      </c>
      <c r="F147" s="11">
        <v>3</v>
      </c>
      <c r="G147" s="6" t="s">
        <v>20</v>
      </c>
      <c r="H147" s="6" t="s">
        <v>20</v>
      </c>
      <c r="I147" s="6" t="s">
        <v>49</v>
      </c>
      <c r="J147" s="6" t="s">
        <v>49</v>
      </c>
      <c r="K147" s="6" t="s">
        <v>49</v>
      </c>
      <c r="L147" s="6"/>
      <c r="M147" s="6">
        <f t="shared" si="6"/>
        <v>7.5</v>
      </c>
      <c r="N147" s="6">
        <f t="shared" si="7"/>
        <v>7.5</v>
      </c>
      <c r="O147" s="13"/>
      <c r="P147" s="13"/>
      <c r="Q147" s="13"/>
      <c r="R147" s="13"/>
    </row>
    <row r="148" spans="1:20">
      <c r="A148" s="26" t="s">
        <v>114</v>
      </c>
      <c r="B148" s="26" t="s">
        <v>1224</v>
      </c>
      <c r="C148" s="26" t="s">
        <v>250</v>
      </c>
      <c r="D148" s="26" t="s">
        <v>212</v>
      </c>
      <c r="E148" s="26" t="s">
        <v>210</v>
      </c>
      <c r="F148" s="27">
        <v>4</v>
      </c>
      <c r="G148" s="28" t="s">
        <v>110</v>
      </c>
      <c r="H148" s="28" t="s">
        <v>870</v>
      </c>
      <c r="I148" s="28" t="s">
        <v>49</v>
      </c>
      <c r="J148" s="28" t="s">
        <v>49</v>
      </c>
      <c r="K148" s="28" t="s">
        <v>49</v>
      </c>
      <c r="L148" s="28" t="s">
        <v>811</v>
      </c>
      <c r="M148" s="28">
        <f t="shared" si="6"/>
        <v>20</v>
      </c>
      <c r="N148" s="28">
        <f t="shared" si="7"/>
        <v>26</v>
      </c>
      <c r="O148" s="13"/>
      <c r="P148" s="13"/>
      <c r="Q148" s="13"/>
      <c r="R148" s="13"/>
    </row>
    <row r="149" spans="1:20">
      <c r="A149" s="10" t="s">
        <v>99</v>
      </c>
      <c r="B149" s="10" t="s">
        <v>1222</v>
      </c>
      <c r="C149" s="10" t="s">
        <v>331</v>
      </c>
      <c r="D149" s="10" t="s">
        <v>212</v>
      </c>
      <c r="E149" s="10" t="s">
        <v>211</v>
      </c>
      <c r="F149" s="11">
        <v>5</v>
      </c>
      <c r="G149" s="6" t="s">
        <v>100</v>
      </c>
      <c r="H149" s="6" t="s">
        <v>29</v>
      </c>
      <c r="I149" s="6" t="s">
        <v>49</v>
      </c>
      <c r="J149" s="6" t="s">
        <v>49</v>
      </c>
      <c r="K149" s="6" t="s">
        <v>49</v>
      </c>
      <c r="L149" s="6"/>
      <c r="M149" s="6">
        <f t="shared" si="6"/>
        <v>15</v>
      </c>
      <c r="N149" s="6">
        <f t="shared" si="7"/>
        <v>22.5</v>
      </c>
      <c r="O149" s="13"/>
      <c r="P149" s="13"/>
      <c r="Q149" s="13"/>
      <c r="R149" s="13"/>
    </row>
    <row r="150" spans="1:20">
      <c r="A150" s="26" t="s">
        <v>99</v>
      </c>
      <c r="B150" s="26" t="s">
        <v>1224</v>
      </c>
      <c r="C150" s="26" t="s">
        <v>562</v>
      </c>
      <c r="D150" s="26" t="s">
        <v>210</v>
      </c>
      <c r="E150" s="26" t="s">
        <v>210</v>
      </c>
      <c r="F150" s="27">
        <v>5</v>
      </c>
      <c r="G150" s="28" t="s">
        <v>902</v>
      </c>
      <c r="H150" s="28" t="s">
        <v>902</v>
      </c>
      <c r="I150" s="28" t="s">
        <v>49</v>
      </c>
      <c r="J150" s="28" t="s">
        <v>49</v>
      </c>
      <c r="K150" s="28" t="s">
        <v>49</v>
      </c>
      <c r="L150" s="28" t="s">
        <v>810</v>
      </c>
      <c r="M150" s="28">
        <f t="shared" si="6"/>
        <v>37.5</v>
      </c>
      <c r="N150" s="28">
        <f t="shared" si="7"/>
        <v>37.5</v>
      </c>
      <c r="O150" s="6"/>
      <c r="P150" s="13"/>
      <c r="Q150" s="13"/>
      <c r="R150" s="13"/>
      <c r="S150" s="13"/>
      <c r="T150" s="13"/>
    </row>
    <row r="151" spans="1:20">
      <c r="A151" s="10" t="s">
        <v>108</v>
      </c>
      <c r="B151" s="10" t="s">
        <v>1220</v>
      </c>
      <c r="C151" s="10" t="s">
        <v>219</v>
      </c>
      <c r="D151" s="10" t="s">
        <v>211</v>
      </c>
      <c r="E151" s="10" t="s">
        <v>212</v>
      </c>
      <c r="F151" s="11">
        <v>7</v>
      </c>
      <c r="G151" s="6" t="s">
        <v>109</v>
      </c>
      <c r="H151" s="6" t="s">
        <v>68</v>
      </c>
      <c r="I151" s="6" t="s">
        <v>49</v>
      </c>
      <c r="J151" s="6" t="s">
        <v>49</v>
      </c>
      <c r="K151" s="6" t="s">
        <v>49</v>
      </c>
      <c r="L151" s="6"/>
      <c r="M151" s="6">
        <f t="shared" si="6"/>
        <v>28</v>
      </c>
      <c r="N151" s="6">
        <f t="shared" si="7"/>
        <v>38.5</v>
      </c>
      <c r="O151" s="13"/>
      <c r="P151" s="13"/>
      <c r="Q151" s="13"/>
      <c r="R151" s="13"/>
    </row>
    <row r="152" spans="1:20">
      <c r="A152" s="26" t="s">
        <v>108</v>
      </c>
      <c r="B152" s="26" t="s">
        <v>1230</v>
      </c>
      <c r="C152" s="26" t="s">
        <v>578</v>
      </c>
      <c r="D152" s="26" t="s">
        <v>412</v>
      </c>
      <c r="E152" s="26" t="s">
        <v>211</v>
      </c>
      <c r="F152" s="27">
        <v>7</v>
      </c>
      <c r="G152" s="28" t="s">
        <v>148</v>
      </c>
      <c r="H152" s="28" t="s">
        <v>326</v>
      </c>
      <c r="I152" s="28" t="s">
        <v>49</v>
      </c>
      <c r="J152" s="28" t="s">
        <v>49</v>
      </c>
      <c r="K152" s="28" t="s">
        <v>49</v>
      </c>
      <c r="L152" s="28" t="s">
        <v>809</v>
      </c>
      <c r="M152" s="28">
        <f t="shared" si="6"/>
        <v>70</v>
      </c>
      <c r="N152" s="28">
        <f t="shared" si="7"/>
        <v>56</v>
      </c>
      <c r="O152" s="13"/>
      <c r="P152" s="13"/>
      <c r="Q152" s="13"/>
      <c r="R152" s="13"/>
    </row>
    <row r="153" spans="1:20">
      <c r="A153" s="10" t="s">
        <v>329</v>
      </c>
      <c r="B153" s="10" t="s">
        <v>1220</v>
      </c>
      <c r="C153" s="10" t="s">
        <v>204</v>
      </c>
      <c r="D153" s="10" t="s">
        <v>211</v>
      </c>
      <c r="E153" s="10" t="s">
        <v>211</v>
      </c>
      <c r="F153" s="11">
        <v>5</v>
      </c>
      <c r="G153" s="6" t="s">
        <v>29</v>
      </c>
      <c r="H153" s="6" t="s">
        <v>68</v>
      </c>
      <c r="I153" s="6" t="s">
        <v>19</v>
      </c>
      <c r="J153" s="6" t="s">
        <v>49</v>
      </c>
      <c r="K153" s="6" t="s">
        <v>49</v>
      </c>
      <c r="L153" s="6"/>
      <c r="M153" s="6">
        <f t="shared" si="6"/>
        <v>60</v>
      </c>
      <c r="N153" s="6">
        <f t="shared" si="7"/>
        <v>27.5</v>
      </c>
      <c r="O153" s="13"/>
      <c r="P153" s="13"/>
      <c r="Q153" s="13"/>
      <c r="R153" s="13"/>
    </row>
    <row r="154" spans="1:20">
      <c r="A154" s="26" t="s">
        <v>329</v>
      </c>
      <c r="B154" s="26" t="s">
        <v>1230</v>
      </c>
      <c r="C154" s="26" t="s">
        <v>765</v>
      </c>
      <c r="D154" s="26" t="s">
        <v>412</v>
      </c>
      <c r="E154" s="26" t="s">
        <v>211</v>
      </c>
      <c r="F154" s="27">
        <v>7</v>
      </c>
      <c r="G154" s="28" t="s">
        <v>148</v>
      </c>
      <c r="H154" s="28" t="s">
        <v>326</v>
      </c>
      <c r="I154" s="28" t="s">
        <v>1832</v>
      </c>
      <c r="J154" s="28" t="s">
        <v>49</v>
      </c>
      <c r="K154" s="28" t="s">
        <v>49</v>
      </c>
      <c r="L154" s="28" t="s">
        <v>809</v>
      </c>
      <c r="M154" s="28">
        <f t="shared" si="6"/>
        <v>126</v>
      </c>
      <c r="N154" s="28">
        <f t="shared" si="7"/>
        <v>56</v>
      </c>
      <c r="O154" s="6"/>
      <c r="P154" s="13"/>
      <c r="Q154" s="13"/>
      <c r="R154" s="13"/>
    </row>
    <row r="155" spans="1:20">
      <c r="A155" s="10" t="s">
        <v>328</v>
      </c>
      <c r="B155" s="10" t="s">
        <v>1220</v>
      </c>
      <c r="C155" s="10" t="s">
        <v>653</v>
      </c>
      <c r="D155" s="10" t="s">
        <v>211</v>
      </c>
      <c r="E155" s="10" t="s">
        <v>211</v>
      </c>
      <c r="F155" s="11">
        <v>5</v>
      </c>
      <c r="G155" s="6" t="s">
        <v>29</v>
      </c>
      <c r="H155" s="6" t="s">
        <v>68</v>
      </c>
      <c r="I155" s="6" t="s">
        <v>49</v>
      </c>
      <c r="J155" s="6" t="s">
        <v>49</v>
      </c>
      <c r="K155" s="6" t="s">
        <v>49</v>
      </c>
      <c r="L155" s="6" t="s">
        <v>1344</v>
      </c>
      <c r="M155" s="6">
        <f t="shared" si="6"/>
        <v>22.5</v>
      </c>
      <c r="N155" s="6">
        <f t="shared" si="7"/>
        <v>27.5</v>
      </c>
      <c r="O155" s="6"/>
      <c r="P155" s="13"/>
      <c r="Q155" s="13"/>
      <c r="R155" s="13"/>
    </row>
    <row r="156" spans="1:20">
      <c r="A156" s="26" t="s">
        <v>328</v>
      </c>
      <c r="B156" s="26" t="s">
        <v>1227</v>
      </c>
      <c r="C156" s="26" t="s">
        <v>383</v>
      </c>
      <c r="D156" s="26" t="s">
        <v>568</v>
      </c>
      <c r="E156" s="26" t="s">
        <v>562</v>
      </c>
      <c r="F156" s="27">
        <v>7</v>
      </c>
      <c r="G156" s="28" t="s">
        <v>148</v>
      </c>
      <c r="H156" s="28" t="s">
        <v>316</v>
      </c>
      <c r="I156" s="28" t="s">
        <v>49</v>
      </c>
      <c r="J156" s="28" t="s">
        <v>49</v>
      </c>
      <c r="K156" s="28" t="s">
        <v>49</v>
      </c>
      <c r="L156" s="28" t="s">
        <v>1345</v>
      </c>
      <c r="M156" s="28">
        <f t="shared" si="6"/>
        <v>70</v>
      </c>
      <c r="N156" s="28">
        <f t="shared" si="7"/>
        <v>59.5</v>
      </c>
      <c r="O156" s="6"/>
      <c r="P156" s="13"/>
      <c r="Q156" s="13"/>
      <c r="R156" s="13"/>
    </row>
    <row r="157" spans="1:20">
      <c r="A157" s="10" t="s">
        <v>101</v>
      </c>
      <c r="B157" s="10" t="s">
        <v>1220</v>
      </c>
      <c r="C157" s="10" t="s">
        <v>654</v>
      </c>
      <c r="D157" s="10" t="s">
        <v>211</v>
      </c>
      <c r="E157" s="10" t="s">
        <v>291</v>
      </c>
      <c r="F157" s="11">
        <v>8</v>
      </c>
      <c r="G157" s="6" t="s">
        <v>24</v>
      </c>
      <c r="H157" s="6" t="s">
        <v>12</v>
      </c>
      <c r="I157" s="6" t="s">
        <v>49</v>
      </c>
      <c r="J157" s="6" t="s">
        <v>49</v>
      </c>
      <c r="K157" s="6" t="s">
        <v>49</v>
      </c>
      <c r="L157" s="6"/>
      <c r="M157" s="6">
        <f t="shared" si="6"/>
        <v>48</v>
      </c>
      <c r="N157" s="6">
        <f t="shared" si="7"/>
        <v>60</v>
      </c>
      <c r="O157" s="13"/>
      <c r="P157" s="13"/>
      <c r="Q157" s="13"/>
      <c r="R157" s="13"/>
    </row>
    <row r="158" spans="1:20">
      <c r="A158" s="26" t="s">
        <v>217</v>
      </c>
      <c r="B158" s="26" t="s">
        <v>1231</v>
      </c>
      <c r="C158" s="26" t="s">
        <v>655</v>
      </c>
      <c r="D158" s="26" t="s">
        <v>201</v>
      </c>
      <c r="E158" s="26" t="s">
        <v>210</v>
      </c>
      <c r="F158" s="27">
        <v>9</v>
      </c>
      <c r="G158" s="28" t="s">
        <v>149</v>
      </c>
      <c r="H158" s="28" t="s">
        <v>56</v>
      </c>
      <c r="I158" s="28" t="s">
        <v>49</v>
      </c>
      <c r="J158" s="28" t="s">
        <v>49</v>
      </c>
      <c r="K158" s="28" t="s">
        <v>49</v>
      </c>
      <c r="L158" s="28" t="s">
        <v>1400</v>
      </c>
      <c r="M158" s="28">
        <f t="shared" si="6"/>
        <v>135</v>
      </c>
      <c r="N158" s="28">
        <f t="shared" si="7"/>
        <v>112.5</v>
      </c>
      <c r="O158" s="6"/>
      <c r="P158" s="13"/>
      <c r="Q158" s="13"/>
      <c r="R158" s="13"/>
      <c r="S158" s="13"/>
    </row>
    <row r="159" spans="1:20">
      <c r="A159" s="10" t="s">
        <v>105</v>
      </c>
      <c r="B159" s="10" t="s">
        <v>1224</v>
      </c>
      <c r="C159" s="10" t="s">
        <v>657</v>
      </c>
      <c r="D159" s="10" t="s">
        <v>212</v>
      </c>
      <c r="E159" s="10" t="s">
        <v>211</v>
      </c>
      <c r="F159" s="11">
        <v>10</v>
      </c>
      <c r="G159" s="6" t="s">
        <v>106</v>
      </c>
      <c r="H159" s="6" t="s">
        <v>29</v>
      </c>
      <c r="I159" s="6" t="s">
        <v>100</v>
      </c>
      <c r="J159" s="6" t="s">
        <v>49</v>
      </c>
      <c r="K159" s="6" t="s">
        <v>49</v>
      </c>
      <c r="L159" s="6" t="s">
        <v>2465</v>
      </c>
      <c r="M159" s="6">
        <f t="shared" si="6"/>
        <v>280</v>
      </c>
      <c r="N159" s="6">
        <f t="shared" si="7"/>
        <v>45</v>
      </c>
      <c r="O159" s="6"/>
      <c r="P159" s="13"/>
      <c r="Q159" s="13"/>
      <c r="R159" s="13"/>
    </row>
    <row r="160" spans="1:20">
      <c r="A160" s="26" t="s">
        <v>105</v>
      </c>
      <c r="B160" s="26" t="s">
        <v>1229</v>
      </c>
      <c r="C160" s="26" t="s">
        <v>1315</v>
      </c>
      <c r="D160" s="26" t="s">
        <v>203</v>
      </c>
      <c r="E160" s="26" t="s">
        <v>562</v>
      </c>
      <c r="F160" s="27">
        <v>9</v>
      </c>
      <c r="G160" s="28" t="s">
        <v>147</v>
      </c>
      <c r="H160" s="28" t="s">
        <v>97</v>
      </c>
      <c r="I160" s="28" t="s">
        <v>1650</v>
      </c>
      <c r="J160" s="28" t="s">
        <v>49</v>
      </c>
      <c r="K160" s="28" t="s">
        <v>49</v>
      </c>
      <c r="L160" s="28" t="s">
        <v>2478</v>
      </c>
      <c r="M160" s="28">
        <f t="shared" si="6"/>
        <v>324</v>
      </c>
      <c r="N160" s="28">
        <f t="shared" si="7"/>
        <v>157.5</v>
      </c>
      <c r="O160" s="6"/>
      <c r="P160" s="13"/>
      <c r="Q160" s="13"/>
      <c r="R160" s="13"/>
    </row>
    <row r="161" spans="1:19">
      <c r="A161" s="1" t="s">
        <v>916</v>
      </c>
      <c r="B161" s="1" t="s">
        <v>1225</v>
      </c>
      <c r="C161" s="1" t="s">
        <v>567</v>
      </c>
      <c r="D161" s="1" t="s">
        <v>248</v>
      </c>
      <c r="E161" s="1" t="s">
        <v>250</v>
      </c>
      <c r="F161" s="3">
        <v>8</v>
      </c>
      <c r="G161" s="4" t="s">
        <v>29</v>
      </c>
      <c r="H161" s="4" t="s">
        <v>12</v>
      </c>
      <c r="I161" s="4" t="s">
        <v>49</v>
      </c>
      <c r="J161" s="4" t="s">
        <v>49</v>
      </c>
      <c r="K161" s="4" t="s">
        <v>49</v>
      </c>
      <c r="L161" s="4" t="s">
        <v>917</v>
      </c>
      <c r="M161" s="6">
        <f t="shared" si="6"/>
        <v>36</v>
      </c>
      <c r="N161" s="6">
        <f t="shared" si="7"/>
        <v>60</v>
      </c>
      <c r="O161" s="6"/>
      <c r="P161" s="13"/>
      <c r="Q161" s="13"/>
      <c r="R161" s="13"/>
    </row>
    <row r="162" spans="1:19">
      <c r="A162" s="26" t="s">
        <v>1676</v>
      </c>
      <c r="B162" s="26" t="s">
        <v>1225</v>
      </c>
      <c r="C162" s="26" t="s">
        <v>337</v>
      </c>
      <c r="D162" s="26" t="s">
        <v>845</v>
      </c>
      <c r="E162" s="26" t="s">
        <v>248</v>
      </c>
      <c r="F162" s="27">
        <v>8</v>
      </c>
      <c r="G162" s="28" t="s">
        <v>100</v>
      </c>
      <c r="H162" s="28" t="s">
        <v>231</v>
      </c>
      <c r="I162" s="28" t="s">
        <v>1833</v>
      </c>
      <c r="J162" s="28" t="s">
        <v>49</v>
      </c>
      <c r="K162" s="28" t="s">
        <v>49</v>
      </c>
      <c r="L162" s="28" t="s">
        <v>923</v>
      </c>
      <c r="M162" s="28">
        <f t="shared" si="6"/>
        <v>72</v>
      </c>
      <c r="N162" s="28">
        <f t="shared" si="7"/>
        <v>36</v>
      </c>
      <c r="O162" s="6"/>
      <c r="P162" s="13"/>
      <c r="Q162" s="13"/>
      <c r="R162" s="13"/>
    </row>
    <row r="163" spans="1:19">
      <c r="A163" s="1" t="s">
        <v>918</v>
      </c>
      <c r="B163" s="1" t="s">
        <v>1225</v>
      </c>
      <c r="C163" s="1" t="s">
        <v>928</v>
      </c>
      <c r="D163" s="1" t="s">
        <v>248</v>
      </c>
      <c r="E163" s="1" t="s">
        <v>250</v>
      </c>
      <c r="F163" s="3">
        <v>8</v>
      </c>
      <c r="G163" s="4" t="s">
        <v>29</v>
      </c>
      <c r="H163" s="4" t="s">
        <v>12</v>
      </c>
      <c r="I163" s="4" t="s">
        <v>49</v>
      </c>
      <c r="J163" s="4" t="s">
        <v>49</v>
      </c>
      <c r="K163" s="4" t="s">
        <v>49</v>
      </c>
      <c r="L163" s="4" t="s">
        <v>922</v>
      </c>
      <c r="M163" s="6">
        <f t="shared" si="6"/>
        <v>36</v>
      </c>
      <c r="N163" s="6">
        <f t="shared" si="7"/>
        <v>60</v>
      </c>
      <c r="O163" s="6"/>
      <c r="P163" s="13"/>
      <c r="Q163" s="13"/>
      <c r="R163" s="13"/>
    </row>
    <row r="164" spans="1:19">
      <c r="A164" s="26" t="s">
        <v>925</v>
      </c>
      <c r="B164" s="26" t="s">
        <v>1225</v>
      </c>
      <c r="C164" s="26" t="s">
        <v>575</v>
      </c>
      <c r="D164" s="26" t="s">
        <v>845</v>
      </c>
      <c r="E164" s="26" t="s">
        <v>248</v>
      </c>
      <c r="F164" s="27">
        <v>8</v>
      </c>
      <c r="G164" s="28" t="s">
        <v>100</v>
      </c>
      <c r="H164" s="28" t="s">
        <v>231</v>
      </c>
      <c r="I164" s="28" t="s">
        <v>49</v>
      </c>
      <c r="J164" s="28" t="s">
        <v>49</v>
      </c>
      <c r="K164" s="28" t="s">
        <v>2139</v>
      </c>
      <c r="L164" s="28" t="s">
        <v>924</v>
      </c>
      <c r="M164" s="28">
        <f t="shared" si="6"/>
        <v>136</v>
      </c>
      <c r="N164" s="28">
        <f t="shared" si="7"/>
        <v>36</v>
      </c>
      <c r="O164" s="6"/>
      <c r="P164" s="13"/>
      <c r="Q164" s="13"/>
      <c r="R164" s="13"/>
      <c r="S164" s="13"/>
    </row>
    <row r="165" spans="1:19">
      <c r="A165" s="1" t="s">
        <v>919</v>
      </c>
      <c r="B165" s="1" t="s">
        <v>1225</v>
      </c>
      <c r="C165" s="1" t="s">
        <v>928</v>
      </c>
      <c r="D165" s="1" t="s">
        <v>248</v>
      </c>
      <c r="E165" s="1" t="s">
        <v>250</v>
      </c>
      <c r="F165" s="3">
        <v>8</v>
      </c>
      <c r="G165" s="4" t="s">
        <v>29</v>
      </c>
      <c r="H165" s="4" t="s">
        <v>12</v>
      </c>
      <c r="I165" s="4" t="s">
        <v>49</v>
      </c>
      <c r="J165" s="4" t="s">
        <v>49</v>
      </c>
      <c r="K165" s="4" t="s">
        <v>49</v>
      </c>
      <c r="L165" s="4" t="s">
        <v>926</v>
      </c>
      <c r="M165" s="6">
        <f t="shared" si="6"/>
        <v>36</v>
      </c>
      <c r="N165" s="6">
        <f t="shared" si="7"/>
        <v>60</v>
      </c>
      <c r="O165" s="6"/>
      <c r="P165" s="13"/>
      <c r="Q165" s="13"/>
      <c r="R165" s="13"/>
    </row>
    <row r="166" spans="1:19">
      <c r="A166" s="26" t="s">
        <v>919</v>
      </c>
      <c r="B166" s="26" t="s">
        <v>1225</v>
      </c>
      <c r="C166" s="26" t="s">
        <v>342</v>
      </c>
      <c r="D166" s="26" t="s">
        <v>845</v>
      </c>
      <c r="E166" s="26" t="s">
        <v>248</v>
      </c>
      <c r="F166" s="27">
        <v>8</v>
      </c>
      <c r="G166" s="28" t="s">
        <v>100</v>
      </c>
      <c r="H166" s="28" t="s">
        <v>231</v>
      </c>
      <c r="I166" s="28" t="s">
        <v>49</v>
      </c>
      <c r="J166" s="28" t="s">
        <v>1832</v>
      </c>
      <c r="K166" s="28" t="s">
        <v>49</v>
      </c>
      <c r="L166" s="28" t="s">
        <v>1343</v>
      </c>
      <c r="M166" s="28">
        <f t="shared" si="6"/>
        <v>88</v>
      </c>
      <c r="N166" s="28">
        <f t="shared" si="7"/>
        <v>36</v>
      </c>
      <c r="O166" s="6"/>
      <c r="P166" s="13"/>
      <c r="Q166" s="13"/>
      <c r="R166" s="13"/>
      <c r="S166" s="13"/>
    </row>
    <row r="167" spans="1:19">
      <c r="A167" s="10" t="s">
        <v>907</v>
      </c>
      <c r="B167" s="10" t="s">
        <v>1225</v>
      </c>
      <c r="C167" s="10" t="s">
        <v>286</v>
      </c>
      <c r="D167" s="10" t="s">
        <v>248</v>
      </c>
      <c r="E167" s="10" t="s">
        <v>250</v>
      </c>
      <c r="F167" s="11">
        <v>8</v>
      </c>
      <c r="G167" s="6" t="s">
        <v>29</v>
      </c>
      <c r="H167" s="6" t="s">
        <v>1849</v>
      </c>
      <c r="I167" s="6" t="s">
        <v>49</v>
      </c>
      <c r="J167" s="6" t="s">
        <v>49</v>
      </c>
      <c r="K167" s="6" t="s">
        <v>49</v>
      </c>
      <c r="L167" s="6" t="s">
        <v>773</v>
      </c>
      <c r="M167" s="6">
        <f t="shared" si="6"/>
        <v>36</v>
      </c>
      <c r="N167" s="6">
        <f t="shared" si="7"/>
        <v>108</v>
      </c>
      <c r="O167" s="6"/>
      <c r="P167" s="13"/>
      <c r="Q167" s="13"/>
      <c r="R167" s="13"/>
    </row>
    <row r="168" spans="1:19">
      <c r="A168" s="26" t="s">
        <v>907</v>
      </c>
      <c r="B168" s="26" t="s">
        <v>1220</v>
      </c>
      <c r="C168" s="26" t="s">
        <v>283</v>
      </c>
      <c r="D168" s="26" t="s">
        <v>2257</v>
      </c>
      <c r="E168" s="26" t="s">
        <v>249</v>
      </c>
      <c r="F168" s="27" t="s">
        <v>2399</v>
      </c>
      <c r="G168" s="28" t="s">
        <v>17</v>
      </c>
      <c r="H168" s="28" t="s">
        <v>1836</v>
      </c>
      <c r="I168" s="28" t="s">
        <v>49</v>
      </c>
      <c r="J168" s="28" t="s">
        <v>49</v>
      </c>
      <c r="K168" s="28" t="s">
        <v>49</v>
      </c>
      <c r="L168" s="28" t="s">
        <v>773</v>
      </c>
      <c r="M168" s="28">
        <f t="shared" si="6"/>
        <v>38.5</v>
      </c>
      <c r="N168" s="28">
        <f t="shared" si="7"/>
        <v>104.5</v>
      </c>
      <c r="O168" s="6"/>
      <c r="P168" s="13"/>
      <c r="Q168" s="13"/>
      <c r="R168" s="13"/>
    </row>
    <row r="169" spans="1:19">
      <c r="A169" s="10" t="s">
        <v>908</v>
      </c>
      <c r="B169" s="10" t="s">
        <v>1225</v>
      </c>
      <c r="C169" s="10" t="s">
        <v>287</v>
      </c>
      <c r="D169" s="10" t="s">
        <v>250</v>
      </c>
      <c r="E169" s="10" t="s">
        <v>250</v>
      </c>
      <c r="F169" s="11">
        <v>8</v>
      </c>
      <c r="G169" s="6" t="s">
        <v>29</v>
      </c>
      <c r="H169" s="6" t="s">
        <v>1839</v>
      </c>
      <c r="I169" s="6" t="s">
        <v>49</v>
      </c>
      <c r="J169" s="6" t="s">
        <v>49</v>
      </c>
      <c r="K169" s="6" t="s">
        <v>49</v>
      </c>
      <c r="L169" s="6" t="s">
        <v>904</v>
      </c>
      <c r="M169" s="6">
        <f t="shared" si="6"/>
        <v>36</v>
      </c>
      <c r="N169" s="6">
        <f t="shared" si="7"/>
        <v>156</v>
      </c>
      <c r="O169" s="6"/>
      <c r="P169" s="13"/>
      <c r="Q169" s="13"/>
      <c r="R169" s="13"/>
    </row>
    <row r="170" spans="1:19">
      <c r="A170" s="26" t="s">
        <v>908</v>
      </c>
      <c r="B170" s="26" t="s">
        <v>1220</v>
      </c>
      <c r="C170" s="26" t="s">
        <v>566</v>
      </c>
      <c r="D170" s="26" t="s">
        <v>2260</v>
      </c>
      <c r="E170" s="26" t="s">
        <v>249</v>
      </c>
      <c r="F170" s="27" t="s">
        <v>1853</v>
      </c>
      <c r="G170" s="28" t="s">
        <v>17</v>
      </c>
      <c r="H170" s="28" t="s">
        <v>2397</v>
      </c>
      <c r="I170" s="28" t="s">
        <v>49</v>
      </c>
      <c r="J170" s="28" t="s">
        <v>49</v>
      </c>
      <c r="K170" s="28" t="s">
        <v>49</v>
      </c>
      <c r="L170" s="28" t="s">
        <v>904</v>
      </c>
      <c r="M170" s="28">
        <f t="shared" si="6"/>
        <v>42</v>
      </c>
      <c r="N170" s="28">
        <f t="shared" si="7"/>
        <v>162</v>
      </c>
      <c r="O170" s="6"/>
      <c r="P170" s="13"/>
      <c r="Q170" s="13"/>
      <c r="R170" s="13"/>
    </row>
    <row r="171" spans="1:19">
      <c r="A171" s="10" t="s">
        <v>909</v>
      </c>
      <c r="B171" s="10" t="s">
        <v>1225</v>
      </c>
      <c r="C171" s="10" t="s">
        <v>288</v>
      </c>
      <c r="D171" s="10" t="s">
        <v>330</v>
      </c>
      <c r="E171" s="10" t="s">
        <v>250</v>
      </c>
      <c r="F171" s="11">
        <v>8</v>
      </c>
      <c r="G171" s="6" t="s">
        <v>29</v>
      </c>
      <c r="H171" s="6" t="s">
        <v>1848</v>
      </c>
      <c r="I171" s="6" t="s">
        <v>49</v>
      </c>
      <c r="J171" s="6" t="s">
        <v>49</v>
      </c>
      <c r="K171" s="6" t="s">
        <v>49</v>
      </c>
      <c r="L171" s="6" t="s">
        <v>905</v>
      </c>
      <c r="M171" s="6">
        <f t="shared" si="6"/>
        <v>36</v>
      </c>
      <c r="N171" s="6">
        <f t="shared" si="7"/>
        <v>204</v>
      </c>
      <c r="O171" s="6"/>
      <c r="P171" s="13"/>
      <c r="Q171" s="13"/>
      <c r="R171" s="13"/>
    </row>
    <row r="172" spans="1:19">
      <c r="A172" s="26" t="s">
        <v>909</v>
      </c>
      <c r="B172" s="26" t="s">
        <v>1220</v>
      </c>
      <c r="C172" s="26" t="s">
        <v>927</v>
      </c>
      <c r="D172" s="26" t="s">
        <v>2259</v>
      </c>
      <c r="E172" s="26" t="s">
        <v>249</v>
      </c>
      <c r="F172" s="27" t="s">
        <v>2398</v>
      </c>
      <c r="G172" s="28" t="s">
        <v>17</v>
      </c>
      <c r="H172" s="28" t="s">
        <v>2396</v>
      </c>
      <c r="I172" s="28" t="s">
        <v>49</v>
      </c>
      <c r="J172" s="28" t="s">
        <v>49</v>
      </c>
      <c r="K172" s="28" t="s">
        <v>49</v>
      </c>
      <c r="L172" s="28" t="s">
        <v>905</v>
      </c>
      <c r="M172" s="28">
        <f t="shared" si="6"/>
        <v>45.5</v>
      </c>
      <c r="N172" s="28">
        <f t="shared" si="7"/>
        <v>227.5</v>
      </c>
      <c r="O172" s="6"/>
      <c r="P172" s="13"/>
      <c r="Q172" s="13"/>
      <c r="R172" s="13"/>
    </row>
    <row r="173" spans="1:19">
      <c r="A173" s="10" t="s">
        <v>910</v>
      </c>
      <c r="B173" s="10" t="s">
        <v>1225</v>
      </c>
      <c r="C173" s="10" t="s">
        <v>289</v>
      </c>
      <c r="D173" s="10" t="s">
        <v>246</v>
      </c>
      <c r="E173" s="10" t="s">
        <v>250</v>
      </c>
      <c r="F173" s="11">
        <v>8</v>
      </c>
      <c r="G173" s="6" t="s">
        <v>29</v>
      </c>
      <c r="H173" s="6" t="s">
        <v>1779</v>
      </c>
      <c r="I173" s="6" t="s">
        <v>49</v>
      </c>
      <c r="J173" s="6" t="s">
        <v>49</v>
      </c>
      <c r="K173" s="6" t="s">
        <v>49</v>
      </c>
      <c r="L173" s="6" t="s">
        <v>906</v>
      </c>
      <c r="M173" s="6">
        <f t="shared" si="6"/>
        <v>36</v>
      </c>
      <c r="N173" s="6">
        <f t="shared" si="7"/>
        <v>252</v>
      </c>
      <c r="O173" s="6"/>
      <c r="P173" s="13"/>
      <c r="Q173" s="13"/>
      <c r="R173" s="13"/>
    </row>
    <row r="174" spans="1:19">
      <c r="A174" s="26" t="s">
        <v>2287</v>
      </c>
      <c r="B174" s="26" t="s">
        <v>1220</v>
      </c>
      <c r="C174" s="26" t="s">
        <v>815</v>
      </c>
      <c r="D174" s="26" t="s">
        <v>2258</v>
      </c>
      <c r="E174" s="26" t="s">
        <v>249</v>
      </c>
      <c r="F174" s="27" t="s">
        <v>444</v>
      </c>
      <c r="G174" s="28" t="s">
        <v>17</v>
      </c>
      <c r="H174" s="28" t="s">
        <v>2395</v>
      </c>
      <c r="I174" s="28" t="s">
        <v>49</v>
      </c>
      <c r="J174" s="28" t="s">
        <v>49</v>
      </c>
      <c r="K174" s="28" t="s">
        <v>49</v>
      </c>
      <c r="L174" s="28" t="s">
        <v>906</v>
      </c>
      <c r="M174" s="28">
        <f t="shared" si="6"/>
        <v>49</v>
      </c>
      <c r="N174" s="28">
        <f t="shared" si="7"/>
        <v>301</v>
      </c>
      <c r="O174" s="6"/>
      <c r="P174" s="13"/>
      <c r="Q174" s="13"/>
      <c r="R174" s="13"/>
    </row>
    <row r="175" spans="1:19">
      <c r="A175" s="1" t="s">
        <v>2461</v>
      </c>
      <c r="B175" s="1" t="s">
        <v>2462</v>
      </c>
      <c r="C175" s="1" t="s">
        <v>204</v>
      </c>
      <c r="D175" s="1" t="s">
        <v>247</v>
      </c>
      <c r="E175" s="1" t="s">
        <v>2463</v>
      </c>
      <c r="F175" s="3">
        <v>1</v>
      </c>
      <c r="G175" s="4" t="s">
        <v>2464</v>
      </c>
      <c r="H175" s="4" t="s">
        <v>2464</v>
      </c>
      <c r="I175" s="4" t="s">
        <v>49</v>
      </c>
      <c r="J175" s="4" t="s">
        <v>49</v>
      </c>
      <c r="K175" s="4" t="s">
        <v>49</v>
      </c>
      <c r="L175" s="4" t="s">
        <v>2497</v>
      </c>
      <c r="M175" s="6">
        <f t="shared" si="6"/>
        <v>22</v>
      </c>
      <c r="N175" s="6">
        <f t="shared" si="7"/>
        <v>22</v>
      </c>
    </row>
    <row r="176" spans="1:19">
      <c r="A176" s="26" t="s">
        <v>2461</v>
      </c>
      <c r="B176" s="26" t="s">
        <v>2503</v>
      </c>
      <c r="C176" s="26" t="s">
        <v>204</v>
      </c>
      <c r="D176" s="26" t="s">
        <v>2502</v>
      </c>
      <c r="E176" s="26" t="s">
        <v>2501</v>
      </c>
      <c r="F176" s="27" t="s">
        <v>2500</v>
      </c>
      <c r="G176" s="28" t="s">
        <v>2499</v>
      </c>
      <c r="H176" s="28" t="s">
        <v>2499</v>
      </c>
      <c r="I176" s="28" t="s">
        <v>49</v>
      </c>
      <c r="J176" s="28" t="s">
        <v>49</v>
      </c>
      <c r="K176" s="28" t="s">
        <v>49</v>
      </c>
      <c r="L176" s="28" t="s">
        <v>2498</v>
      </c>
      <c r="M176" s="28">
        <f t="shared" si="6"/>
        <v>48</v>
      </c>
      <c r="N176" s="28">
        <f t="shared" si="7"/>
        <v>48</v>
      </c>
    </row>
    <row r="177" spans="1:19">
      <c r="A177" s="1" t="s">
        <v>1527</v>
      </c>
      <c r="B177" s="1" t="s">
        <v>1222</v>
      </c>
      <c r="C177" s="1" t="s">
        <v>158</v>
      </c>
      <c r="D177" s="1" t="s">
        <v>250</v>
      </c>
      <c r="E177" s="1" t="s">
        <v>248</v>
      </c>
      <c r="F177" s="3">
        <v>4</v>
      </c>
      <c r="G177" s="4" t="s">
        <v>216</v>
      </c>
      <c r="H177" s="4" t="s">
        <v>18</v>
      </c>
      <c r="I177" s="4" t="s">
        <v>49</v>
      </c>
      <c r="J177" s="4" t="s">
        <v>49</v>
      </c>
      <c r="K177" s="4" t="s">
        <v>49</v>
      </c>
      <c r="M177" s="6">
        <f t="shared" si="6"/>
        <v>4</v>
      </c>
      <c r="N177" s="6">
        <f t="shared" si="7"/>
        <v>8</v>
      </c>
    </row>
    <row r="178" spans="1:19">
      <c r="A178" s="26" t="s">
        <v>1522</v>
      </c>
      <c r="B178" s="26" t="s">
        <v>1218</v>
      </c>
      <c r="C178" s="26" t="s">
        <v>153</v>
      </c>
      <c r="D178" s="26" t="s">
        <v>359</v>
      </c>
      <c r="E178" s="26" t="s">
        <v>359</v>
      </c>
      <c r="F178" s="27">
        <v>6</v>
      </c>
      <c r="G178" s="28" t="s">
        <v>307</v>
      </c>
      <c r="H178" s="28" t="s">
        <v>18</v>
      </c>
      <c r="I178" s="28" t="s">
        <v>49</v>
      </c>
      <c r="J178" s="28" t="s">
        <v>49</v>
      </c>
      <c r="K178" s="28" t="s">
        <v>49</v>
      </c>
      <c r="L178" s="28"/>
      <c r="M178" s="28">
        <f t="shared" si="6"/>
        <v>9</v>
      </c>
      <c r="N178" s="28">
        <f t="shared" si="7"/>
        <v>12</v>
      </c>
    </row>
    <row r="179" spans="1:19">
      <c r="A179" s="1" t="s">
        <v>1928</v>
      </c>
      <c r="B179" s="1" t="s">
        <v>1227</v>
      </c>
      <c r="C179" s="1" t="s">
        <v>153</v>
      </c>
      <c r="D179" s="1" t="s">
        <v>247</v>
      </c>
      <c r="E179" s="1" t="s">
        <v>246</v>
      </c>
      <c r="F179" s="3">
        <v>3</v>
      </c>
      <c r="G179" s="4" t="s">
        <v>307</v>
      </c>
      <c r="H179" s="4" t="s">
        <v>18</v>
      </c>
      <c r="I179" s="4" t="s">
        <v>49</v>
      </c>
      <c r="J179" s="4" t="s">
        <v>49</v>
      </c>
      <c r="K179" s="4" t="s">
        <v>49</v>
      </c>
      <c r="M179" s="6">
        <f t="shared" si="6"/>
        <v>4.5</v>
      </c>
      <c r="N179" s="6">
        <f t="shared" si="7"/>
        <v>6</v>
      </c>
    </row>
    <row r="180" spans="1:19">
      <c r="A180" s="26" t="s">
        <v>1928</v>
      </c>
      <c r="B180" s="26" t="s">
        <v>1221</v>
      </c>
      <c r="C180" s="26" t="s">
        <v>359</v>
      </c>
      <c r="D180" s="26" t="s">
        <v>291</v>
      </c>
      <c r="E180" s="26" t="s">
        <v>250</v>
      </c>
      <c r="F180" s="27">
        <v>5</v>
      </c>
      <c r="G180" s="28" t="s">
        <v>775</v>
      </c>
      <c r="H180" s="28" t="s">
        <v>77</v>
      </c>
      <c r="I180" s="28" t="s">
        <v>49</v>
      </c>
      <c r="J180" s="28" t="s">
        <v>49</v>
      </c>
      <c r="K180" s="28" t="s">
        <v>49</v>
      </c>
      <c r="L180" s="28"/>
      <c r="M180" s="28">
        <f t="shared" si="6"/>
        <v>15</v>
      </c>
      <c r="N180" s="28">
        <f t="shared" si="7"/>
        <v>22.5</v>
      </c>
    </row>
    <row r="181" spans="1:19" ht="15" customHeight="1">
      <c r="A181" s="1" t="s">
        <v>913</v>
      </c>
      <c r="B181" s="1" t="s">
        <v>1225</v>
      </c>
      <c r="C181" s="1" t="s">
        <v>158</v>
      </c>
      <c r="D181" s="1" t="s">
        <v>248</v>
      </c>
      <c r="E181" s="1" t="s">
        <v>250</v>
      </c>
      <c r="F181" s="3">
        <v>8</v>
      </c>
      <c r="G181" s="4" t="s">
        <v>20</v>
      </c>
      <c r="H181" s="4" t="s">
        <v>174</v>
      </c>
      <c r="I181" s="4" t="s">
        <v>49</v>
      </c>
      <c r="J181" s="4" t="s">
        <v>49</v>
      </c>
      <c r="K181" s="4" t="s">
        <v>49</v>
      </c>
      <c r="M181" s="6">
        <f t="shared" si="6"/>
        <v>20</v>
      </c>
      <c r="N181" s="6">
        <f t="shared" si="7"/>
        <v>44</v>
      </c>
    </row>
    <row r="182" spans="1:19" ht="15" customHeight="1">
      <c r="A182" s="26" t="s">
        <v>913</v>
      </c>
      <c r="B182" s="26" t="s">
        <v>1225</v>
      </c>
      <c r="C182" s="26" t="s">
        <v>247</v>
      </c>
      <c r="D182" s="26" t="s">
        <v>247</v>
      </c>
      <c r="E182" s="26" t="s">
        <v>248</v>
      </c>
      <c r="F182" s="27">
        <v>8</v>
      </c>
      <c r="G182" s="28" t="s">
        <v>20</v>
      </c>
      <c r="H182" s="28" t="s">
        <v>193</v>
      </c>
      <c r="I182" s="28" t="s">
        <v>49</v>
      </c>
      <c r="J182" s="28" t="s">
        <v>49</v>
      </c>
      <c r="K182" s="28" t="s">
        <v>49</v>
      </c>
      <c r="L182" s="28"/>
      <c r="M182" s="28">
        <f t="shared" si="6"/>
        <v>20</v>
      </c>
      <c r="N182" s="28">
        <f t="shared" si="7"/>
        <v>32</v>
      </c>
    </row>
    <row r="183" spans="1:19">
      <c r="A183" s="1" t="s">
        <v>914</v>
      </c>
      <c r="B183" s="1" t="s">
        <v>1225</v>
      </c>
      <c r="C183" s="1" t="s">
        <v>332</v>
      </c>
      <c r="D183" s="1" t="s">
        <v>246</v>
      </c>
      <c r="E183" s="1" t="s">
        <v>330</v>
      </c>
      <c r="F183" s="3">
        <v>10</v>
      </c>
      <c r="G183" s="4" t="s">
        <v>29</v>
      </c>
      <c r="H183" s="4" t="s">
        <v>12</v>
      </c>
      <c r="I183" s="4" t="s">
        <v>49</v>
      </c>
      <c r="J183" s="4" t="s">
        <v>49</v>
      </c>
      <c r="K183" s="4" t="s">
        <v>49</v>
      </c>
      <c r="M183" s="6">
        <f t="shared" si="6"/>
        <v>45</v>
      </c>
      <c r="N183" s="6">
        <f t="shared" si="7"/>
        <v>75</v>
      </c>
    </row>
    <row r="184" spans="1:19">
      <c r="A184" s="26" t="s">
        <v>915</v>
      </c>
      <c r="B184" s="26" t="s">
        <v>1220</v>
      </c>
      <c r="C184" s="26" t="s">
        <v>560</v>
      </c>
      <c r="D184" s="26" t="s">
        <v>249</v>
      </c>
      <c r="E184" s="26" t="s">
        <v>249</v>
      </c>
      <c r="F184" s="27">
        <v>10</v>
      </c>
      <c r="G184" s="28" t="s">
        <v>17</v>
      </c>
      <c r="H184" s="28" t="s">
        <v>174</v>
      </c>
      <c r="I184" s="28" t="s">
        <v>49</v>
      </c>
      <c r="J184" s="28" t="s">
        <v>49</v>
      </c>
      <c r="K184" s="28" t="s">
        <v>49</v>
      </c>
      <c r="L184" s="28"/>
      <c r="M184" s="28">
        <f t="shared" si="6"/>
        <v>35</v>
      </c>
      <c r="N184" s="28">
        <f t="shared" si="7"/>
        <v>55</v>
      </c>
    </row>
    <row r="185" spans="1:19">
      <c r="A185" s="1" t="s">
        <v>9</v>
      </c>
      <c r="B185" s="1" t="s">
        <v>1225</v>
      </c>
      <c r="C185" s="1" t="s">
        <v>813</v>
      </c>
      <c r="D185" s="1" t="s">
        <v>248</v>
      </c>
      <c r="E185" s="1" t="s">
        <v>246</v>
      </c>
      <c r="F185" s="3">
        <v>8</v>
      </c>
      <c r="G185" s="4" t="s">
        <v>17</v>
      </c>
      <c r="H185" s="4" t="s">
        <v>18</v>
      </c>
      <c r="I185" s="4" t="s">
        <v>49</v>
      </c>
      <c r="J185" s="4" t="s">
        <v>19</v>
      </c>
      <c r="K185" s="4" t="s">
        <v>49</v>
      </c>
      <c r="L185" s="4" t="s">
        <v>2173</v>
      </c>
      <c r="M185" s="6">
        <f t="shared" si="6"/>
        <v>88</v>
      </c>
      <c r="N185" s="6">
        <f t="shared" si="7"/>
        <v>16</v>
      </c>
      <c r="O185" s="6"/>
      <c r="P185" s="13"/>
      <c r="Q185" s="13"/>
      <c r="R185" s="13"/>
      <c r="S185" s="13"/>
    </row>
    <row r="186" spans="1:19">
      <c r="A186" s="26" t="s">
        <v>9</v>
      </c>
      <c r="B186" s="48" t="s">
        <v>1243</v>
      </c>
      <c r="C186" s="26" t="s">
        <v>223</v>
      </c>
      <c r="D186" s="26" t="s">
        <v>250</v>
      </c>
      <c r="E186" s="26" t="s">
        <v>630</v>
      </c>
      <c r="F186" s="27">
        <v>8</v>
      </c>
      <c r="G186" s="28" t="s">
        <v>20</v>
      </c>
      <c r="H186" s="28" t="s">
        <v>18</v>
      </c>
      <c r="I186" s="28" t="s">
        <v>49</v>
      </c>
      <c r="J186" s="28" t="s">
        <v>298</v>
      </c>
      <c r="K186" s="28" t="s">
        <v>49</v>
      </c>
      <c r="L186" s="28" t="s">
        <v>1342</v>
      </c>
      <c r="M186" s="28">
        <f t="shared" si="6"/>
        <v>200</v>
      </c>
      <c r="N186" s="28">
        <f t="shared" si="7"/>
        <v>16</v>
      </c>
      <c r="O186" s="13"/>
      <c r="P186" s="13"/>
      <c r="Q186" s="13"/>
      <c r="R186" s="13"/>
      <c r="S186" s="13"/>
    </row>
    <row r="187" spans="1:19">
      <c r="A187" s="10"/>
      <c r="B187" s="10"/>
      <c r="C187" s="10"/>
      <c r="D187" s="10"/>
      <c r="E187" s="10"/>
      <c r="F187" s="11"/>
      <c r="G187" s="6"/>
      <c r="H187" s="6"/>
      <c r="I187" s="6"/>
      <c r="J187" s="6"/>
      <c r="K187" s="6"/>
      <c r="L187" s="6"/>
      <c r="M187" s="6"/>
      <c r="N187" s="12"/>
      <c r="O187" s="13"/>
      <c r="P187" s="13"/>
      <c r="Q187" s="13"/>
      <c r="R187" s="13"/>
    </row>
    <row r="188" spans="1:19">
      <c r="A188" s="10"/>
      <c r="B188" s="10"/>
      <c r="C188" s="10"/>
      <c r="D188" s="10"/>
      <c r="E188" s="10"/>
      <c r="F188" s="11"/>
      <c r="G188" s="6"/>
      <c r="H188" s="6"/>
      <c r="I188" s="6"/>
      <c r="J188" s="6"/>
      <c r="K188" s="6"/>
      <c r="L188" s="6"/>
      <c r="M188" s="6"/>
      <c r="N188" s="12"/>
      <c r="O188" s="13"/>
      <c r="P188" s="13"/>
      <c r="Q188" s="13"/>
      <c r="R188" s="13"/>
    </row>
    <row r="189" spans="1:19">
      <c r="A189" s="10"/>
      <c r="B189" s="10"/>
      <c r="C189" s="10"/>
      <c r="D189" s="10"/>
      <c r="E189" s="10"/>
      <c r="F189" s="11"/>
      <c r="G189" s="6"/>
      <c r="H189" s="6"/>
      <c r="I189" s="6"/>
      <c r="J189" s="6"/>
      <c r="K189" s="6"/>
      <c r="L189" s="6"/>
      <c r="M189" s="6"/>
      <c r="N189" s="12"/>
      <c r="O189" s="13"/>
      <c r="P189" s="13"/>
      <c r="Q189" s="13"/>
      <c r="R189" s="13"/>
    </row>
    <row r="190" spans="1:19">
      <c r="A190" s="10"/>
      <c r="B190" s="10"/>
      <c r="C190" s="10"/>
      <c r="D190" s="10"/>
      <c r="E190" s="10"/>
      <c r="F190" s="11"/>
      <c r="G190" s="6"/>
      <c r="H190" s="6"/>
      <c r="I190" s="6"/>
      <c r="J190" s="6"/>
      <c r="K190" s="6"/>
      <c r="L190" s="6"/>
      <c r="M190" s="6"/>
      <c r="N190" s="12"/>
      <c r="O190" s="13"/>
      <c r="P190" s="13"/>
      <c r="Q190" s="13"/>
      <c r="R190" s="13"/>
    </row>
    <row r="191" spans="1:19">
      <c r="A191" s="10"/>
      <c r="B191" s="10"/>
      <c r="C191" s="10"/>
      <c r="D191" s="10"/>
      <c r="E191" s="10"/>
      <c r="F191" s="11"/>
      <c r="G191" s="6"/>
      <c r="H191" s="6"/>
      <c r="I191" s="6"/>
      <c r="J191" s="6"/>
      <c r="K191" s="6"/>
      <c r="L191" s="6"/>
      <c r="M191" s="6"/>
      <c r="N191" s="12"/>
      <c r="O191" s="13"/>
      <c r="P191" s="13"/>
      <c r="Q191" s="13"/>
      <c r="R191" s="13"/>
    </row>
    <row r="192" spans="1:19">
      <c r="A192" s="10"/>
      <c r="B192" s="10"/>
      <c r="C192" s="10"/>
      <c r="D192" s="10"/>
      <c r="E192" s="10"/>
      <c r="F192" s="11"/>
      <c r="G192" s="6"/>
      <c r="H192" s="6"/>
      <c r="I192" s="6"/>
      <c r="J192" s="6"/>
      <c r="K192" s="6"/>
      <c r="L192" s="6"/>
      <c r="M192" s="6"/>
      <c r="N192" s="12"/>
      <c r="O192" s="13"/>
      <c r="P192" s="13"/>
      <c r="Q192" s="13"/>
      <c r="R192" s="13"/>
    </row>
    <row r="193" spans="1:18">
      <c r="A193" s="10"/>
      <c r="B193" s="10"/>
      <c r="C193" s="10"/>
      <c r="D193" s="10"/>
      <c r="E193" s="10"/>
      <c r="F193" s="11"/>
      <c r="G193" s="6"/>
      <c r="H193" s="6"/>
      <c r="I193" s="6"/>
      <c r="J193" s="6"/>
      <c r="K193" s="6"/>
      <c r="L193" s="6"/>
      <c r="M193" s="6"/>
      <c r="N193" s="12"/>
      <c r="O193" s="13"/>
      <c r="P193" s="13"/>
      <c r="Q193" s="13"/>
      <c r="R193" s="13"/>
    </row>
    <row r="194" spans="1:18">
      <c r="A194" s="10"/>
      <c r="B194" s="10"/>
      <c r="C194" s="10"/>
      <c r="D194" s="10"/>
      <c r="E194" s="10"/>
      <c r="F194" s="11"/>
      <c r="G194" s="6"/>
      <c r="H194" s="6"/>
      <c r="I194" s="6"/>
      <c r="J194" s="6"/>
      <c r="K194" s="6"/>
      <c r="L194" s="6"/>
      <c r="M194" s="12"/>
      <c r="N194" s="12"/>
      <c r="O194" s="13"/>
      <c r="P194" s="13"/>
      <c r="Q194" s="13"/>
      <c r="R194" s="13"/>
    </row>
    <row r="195" spans="1:18">
      <c r="A195" s="10"/>
      <c r="B195" s="10"/>
      <c r="C195" s="10"/>
      <c r="D195" s="10"/>
      <c r="E195" s="10"/>
      <c r="F195" s="11"/>
      <c r="G195" s="6"/>
      <c r="H195" s="6"/>
      <c r="I195" s="6"/>
      <c r="J195" s="6"/>
      <c r="K195" s="6"/>
      <c r="L195" s="6"/>
      <c r="M195" s="12"/>
      <c r="N195" s="12"/>
      <c r="O195" s="13"/>
      <c r="P195" s="13"/>
      <c r="Q195" s="13"/>
      <c r="R195" s="13"/>
    </row>
    <row r="196" spans="1:18">
      <c r="A196" s="10"/>
      <c r="B196" s="10"/>
      <c r="C196" s="10"/>
      <c r="D196" s="10"/>
      <c r="E196" s="10"/>
      <c r="F196" s="11"/>
      <c r="G196" s="6"/>
      <c r="H196" s="6"/>
      <c r="I196" s="6"/>
      <c r="J196" s="6"/>
      <c r="K196" s="6"/>
      <c r="L196" s="6"/>
      <c r="M196" s="12"/>
      <c r="N196" s="12"/>
      <c r="O196" s="13"/>
      <c r="P196" s="13"/>
      <c r="Q196" s="13"/>
      <c r="R196" s="13"/>
    </row>
    <row r="197" spans="1:18">
      <c r="A197" s="10"/>
      <c r="B197" s="10"/>
      <c r="C197" s="10"/>
      <c r="D197" s="10"/>
      <c r="E197" s="10"/>
      <c r="F197" s="11"/>
      <c r="G197" s="6"/>
      <c r="H197" s="6"/>
      <c r="I197" s="6"/>
      <c r="J197" s="6"/>
      <c r="K197" s="6"/>
      <c r="L197" s="6"/>
      <c r="M197" s="12"/>
      <c r="N197" s="12"/>
      <c r="O197" s="13"/>
      <c r="P197" s="13"/>
      <c r="Q197" s="13"/>
      <c r="R197" s="13"/>
    </row>
    <row r="198" spans="1:18">
      <c r="A198" s="10"/>
      <c r="B198" s="10"/>
      <c r="C198" s="10"/>
      <c r="D198" s="10"/>
      <c r="E198" s="10"/>
      <c r="F198" s="11"/>
      <c r="G198" s="6"/>
      <c r="H198" s="6"/>
      <c r="I198" s="6"/>
      <c r="J198" s="6"/>
      <c r="K198" s="6"/>
      <c r="L198" s="6"/>
      <c r="M198" s="12"/>
      <c r="N198" s="12"/>
      <c r="O198" s="13"/>
      <c r="P198" s="13"/>
      <c r="Q198" s="13"/>
      <c r="R198" s="13"/>
    </row>
    <row r="199" spans="1:18">
      <c r="A199" s="10"/>
      <c r="B199" s="10"/>
      <c r="C199" s="10"/>
      <c r="D199" s="10"/>
      <c r="E199" s="10"/>
      <c r="F199" s="11"/>
      <c r="G199" s="6"/>
      <c r="H199" s="6"/>
      <c r="I199" s="6"/>
      <c r="J199" s="6"/>
      <c r="K199" s="6"/>
      <c r="L199" s="6"/>
      <c r="M199" s="12"/>
      <c r="N199" s="12"/>
      <c r="O199" s="13"/>
      <c r="P199" s="13"/>
      <c r="Q199" s="13"/>
      <c r="R199" s="13"/>
    </row>
    <row r="200" spans="1:18">
      <c r="A200" s="10"/>
      <c r="B200" s="10"/>
      <c r="C200" s="10"/>
      <c r="D200" s="10"/>
      <c r="E200" s="10"/>
      <c r="F200" s="11"/>
      <c r="G200" s="6"/>
      <c r="H200" s="6"/>
      <c r="I200" s="6"/>
      <c r="J200" s="6"/>
      <c r="K200" s="6"/>
      <c r="L200" s="6"/>
      <c r="M200" s="12"/>
      <c r="N200" s="12"/>
      <c r="O200" s="13"/>
      <c r="P200" s="13"/>
      <c r="Q200" s="13"/>
      <c r="R200" s="13"/>
    </row>
    <row r="201" spans="1:18">
      <c r="A201" s="10"/>
      <c r="B201" s="10"/>
      <c r="C201" s="10"/>
      <c r="D201" s="10"/>
      <c r="E201" s="10"/>
      <c r="F201" s="11"/>
      <c r="G201" s="6"/>
      <c r="H201" s="6"/>
      <c r="I201" s="6"/>
      <c r="J201" s="6"/>
      <c r="K201" s="6"/>
      <c r="L201" s="6"/>
      <c r="M201" s="12"/>
      <c r="N201" s="12"/>
      <c r="O201" s="13"/>
      <c r="P201" s="13"/>
      <c r="Q201" s="13"/>
      <c r="R201" s="13"/>
    </row>
    <row r="202" spans="1:18">
      <c r="A202" s="10"/>
      <c r="B202" s="10"/>
      <c r="C202" s="10"/>
      <c r="D202" s="10"/>
      <c r="E202" s="10"/>
      <c r="F202" s="11"/>
      <c r="G202" s="6"/>
      <c r="H202" s="6"/>
      <c r="I202" s="6"/>
      <c r="J202" s="6"/>
      <c r="K202" s="6"/>
      <c r="L202" s="6"/>
      <c r="M202" s="12"/>
      <c r="N202" s="12"/>
      <c r="O202" s="13"/>
      <c r="P202" s="13"/>
      <c r="Q202" s="13"/>
      <c r="R202" s="13"/>
    </row>
    <row r="203" spans="1:18">
      <c r="A203" s="10"/>
      <c r="B203" s="10"/>
      <c r="C203" s="10"/>
      <c r="D203" s="10"/>
      <c r="E203" s="10"/>
      <c r="F203" s="11"/>
      <c r="G203" s="6"/>
      <c r="H203" s="6"/>
      <c r="I203" s="6"/>
      <c r="J203" s="6"/>
      <c r="K203" s="6"/>
      <c r="L203" s="6"/>
      <c r="M203" s="12"/>
      <c r="N203" s="12"/>
    </row>
    <row r="204" spans="1:18">
      <c r="A204" s="10"/>
      <c r="B204" s="10"/>
      <c r="C204" s="10"/>
      <c r="D204" s="10"/>
      <c r="E204" s="10"/>
      <c r="F204" s="11"/>
      <c r="G204" s="6"/>
      <c r="H204" s="6"/>
      <c r="I204" s="6"/>
      <c r="J204" s="6"/>
      <c r="K204" s="6"/>
      <c r="L204" s="6"/>
      <c r="M204" s="12"/>
      <c r="N204" s="12"/>
    </row>
  </sheetData>
  <pageMargins left="0.7" right="0.7" top="0.75" bottom="0.75" header="0.3" footer="0.3"/>
  <pageSetup paperSize="9" orientation="portrait" r:id="rId1"/>
  <ignoredErrors>
    <ignoredError sqref="K78" twoDigitTextYear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81"/>
  <sheetViews>
    <sheetView workbookViewId="0">
      <pane ySplit="1" topLeftCell="A2" activePane="bottomLeft" state="frozen"/>
      <selection pane="bottomLeft" activeCell="S3" sqref="S3:T5"/>
    </sheetView>
  </sheetViews>
  <sheetFormatPr defaultRowHeight="15"/>
  <cols>
    <col min="1" max="1" width="30" style="1" customWidth="1"/>
    <col min="2" max="2" width="21.42578125" style="1" customWidth="1"/>
    <col min="3" max="3" width="12.85546875" style="1" customWidth="1"/>
    <col min="4" max="5" width="11.42578125" style="4" customWidth="1"/>
    <col min="6" max="6" width="5.7109375" style="4" customWidth="1"/>
    <col min="7" max="7" width="10.7109375" style="3" customWidth="1"/>
    <col min="8" max="8" width="10" style="3" customWidth="1"/>
    <col min="9" max="9" width="8.5703125" style="3" customWidth="1"/>
    <col min="10" max="14" width="6.7109375" style="4" customWidth="1"/>
    <col min="15" max="15" width="42.140625" style="4" customWidth="1"/>
    <col min="16" max="17" width="10" style="5" customWidth="1"/>
    <col min="18" max="18" width="9.140625" style="2" customWidth="1"/>
    <col min="19" max="19" width="9.140625" style="2"/>
    <col min="20" max="20" width="15.7109375" style="2" customWidth="1"/>
    <col min="21" max="21" width="9.140625" style="2" customWidth="1"/>
    <col min="22" max="16384" width="9.140625" style="2"/>
  </cols>
  <sheetData>
    <row r="1" spans="1:24" s="17" customFormat="1" ht="15.75" thickBot="1">
      <c r="A1" s="7" t="s">
        <v>34</v>
      </c>
      <c r="B1" s="21" t="s">
        <v>1306</v>
      </c>
      <c r="C1" s="21" t="s">
        <v>1217</v>
      </c>
      <c r="D1" s="21" t="s">
        <v>200</v>
      </c>
      <c r="E1" s="21" t="s">
        <v>85</v>
      </c>
      <c r="F1" s="21" t="s">
        <v>207</v>
      </c>
      <c r="G1" s="8" t="s">
        <v>890</v>
      </c>
      <c r="H1" s="8" t="s">
        <v>0</v>
      </c>
      <c r="I1" s="8" t="s">
        <v>117</v>
      </c>
      <c r="J1" s="14" t="s">
        <v>1</v>
      </c>
      <c r="K1" s="14" t="s">
        <v>2</v>
      </c>
      <c r="L1" s="14" t="s">
        <v>3</v>
      </c>
      <c r="M1" s="14" t="s">
        <v>5</v>
      </c>
      <c r="N1" s="14" t="s">
        <v>4</v>
      </c>
      <c r="O1" s="14" t="s">
        <v>41</v>
      </c>
      <c r="P1" s="15" t="s">
        <v>52</v>
      </c>
      <c r="Q1" s="16" t="s">
        <v>53</v>
      </c>
    </row>
    <row r="2" spans="1:24" ht="15.75" thickBot="1">
      <c r="A2" s="1" t="s">
        <v>304</v>
      </c>
      <c r="B2" s="1" t="s">
        <v>1309</v>
      </c>
      <c r="C2" s="1" t="s">
        <v>1225</v>
      </c>
      <c r="D2" s="4" t="s">
        <v>327</v>
      </c>
      <c r="E2" s="4" t="s">
        <v>250</v>
      </c>
      <c r="F2" s="4" t="s">
        <v>330</v>
      </c>
      <c r="G2" s="3">
        <v>5</v>
      </c>
      <c r="H2" s="3">
        <v>2</v>
      </c>
      <c r="I2" s="3">
        <v>1</v>
      </c>
      <c r="J2" s="4" t="s">
        <v>100</v>
      </c>
      <c r="K2" s="4" t="s">
        <v>49</v>
      </c>
      <c r="L2" s="4" t="s">
        <v>49</v>
      </c>
      <c r="M2" s="4" t="s">
        <v>49</v>
      </c>
      <c r="N2" s="4" t="s">
        <v>49</v>
      </c>
      <c r="O2" s="4" t="s">
        <v>2479</v>
      </c>
      <c r="P2" s="6">
        <f>$H2 * (LEFT($J2, FIND("-",$J2)-1) + RIGHT($J2, LEN($J2) - FIND("-",$J2))  +  LEFT($L2, FIND("-",$L2)-1) + RIGHT($L2, LEN($L2) - FIND("-",$L2))  +  LEFT($M2, FIND("-",$M2)-1) + RIGHT($M2, LEN($M2) - FIND("-",$M2))  +  LEFT($N2, FIND("-",$N2)-1) + RIGHT($N2, LEN($N2) - FIND("-",$N2))) / 2</f>
        <v>6</v>
      </c>
      <c r="Q2" s="5">
        <f t="shared" ref="Q2:Q35" si="0">$H2 * ((LEFT($K2, FIND("-",$K2)-1) + RIGHT($K2, LEN($K2) - FIND("-",$K2))) / 2)</f>
        <v>0</v>
      </c>
    </row>
    <row r="3" spans="1:24">
      <c r="A3" s="26" t="s">
        <v>304</v>
      </c>
      <c r="B3" s="26" t="s">
        <v>1309</v>
      </c>
      <c r="C3" s="26" t="s">
        <v>1225</v>
      </c>
      <c r="D3" s="28" t="s">
        <v>249</v>
      </c>
      <c r="E3" s="28" t="s">
        <v>249</v>
      </c>
      <c r="F3" s="28" t="s">
        <v>250</v>
      </c>
      <c r="G3" s="27">
        <v>10</v>
      </c>
      <c r="H3" s="27">
        <v>4</v>
      </c>
      <c r="I3" s="27">
        <v>1</v>
      </c>
      <c r="J3" s="28" t="s">
        <v>193</v>
      </c>
      <c r="K3" s="28" t="s">
        <v>100</v>
      </c>
      <c r="L3" s="28" t="s">
        <v>49</v>
      </c>
      <c r="M3" s="28" t="s">
        <v>49</v>
      </c>
      <c r="N3" s="28" t="s">
        <v>49</v>
      </c>
      <c r="O3" s="28" t="s">
        <v>2480</v>
      </c>
      <c r="P3" s="28">
        <f>$H3 * (LEFT($J3, FIND("-",$J3)-1) + RIGHT($J3, LEN($J3) - FIND("-",$J3))  +  LEFT($L3, FIND("-",$L3)-1) + RIGHT($L3, LEN($L3) - FIND("-",$L3))  +  LEFT($M3, FIND("-",$M3)-1) + RIGHT($M3, LEN($M3) - FIND("-",$M3))  +  LEFT($N3, FIND("-",$N3)-1) + RIGHT($N3, LEN($N3) - FIND("-",$N3))) / 2</f>
        <v>16</v>
      </c>
      <c r="Q3" s="29">
        <f t="shared" si="0"/>
        <v>12</v>
      </c>
      <c r="S3" s="35"/>
      <c r="T3" s="22" t="s">
        <v>72</v>
      </c>
    </row>
    <row r="4" spans="1:24">
      <c r="A4" s="1" t="s">
        <v>305</v>
      </c>
      <c r="B4" s="1" t="s">
        <v>1309</v>
      </c>
      <c r="C4" s="1" t="s">
        <v>1225</v>
      </c>
      <c r="D4" s="4" t="s">
        <v>155</v>
      </c>
      <c r="E4" s="4" t="s">
        <v>330</v>
      </c>
      <c r="F4" s="4" t="s">
        <v>250</v>
      </c>
      <c r="G4" s="3">
        <v>8</v>
      </c>
      <c r="H4" s="3">
        <v>4</v>
      </c>
      <c r="I4" s="3">
        <v>1</v>
      </c>
      <c r="J4" s="4" t="s">
        <v>17</v>
      </c>
      <c r="K4" s="4" t="s">
        <v>18</v>
      </c>
      <c r="L4" s="4" t="s">
        <v>49</v>
      </c>
      <c r="M4" s="4" t="s">
        <v>49</v>
      </c>
      <c r="N4" s="4" t="s">
        <v>49</v>
      </c>
      <c r="O4" s="4" t="s">
        <v>2480</v>
      </c>
      <c r="P4" s="6">
        <f t="shared" ref="P4:P65" si="1">$H4 * (LEFT($J4, FIND("-",$J4)-1) + RIGHT($J4, LEN($J4) - FIND("-",$J4))  +  LEFT($L4, FIND("-",$L4)-1) + RIGHT($L4, LEN($L4) - FIND("-",$L4))  +  LEFT($M4, FIND("-",$M4)-1) + RIGHT($M4, LEN($M4) - FIND("-",$M4))  +  LEFT($N4, FIND("-",$N4)-1) + RIGHT($N4, LEN($N4) - FIND("-",$N4))) / 2</f>
        <v>14</v>
      </c>
      <c r="Q4" s="5">
        <f t="shared" si="0"/>
        <v>8</v>
      </c>
      <c r="S4" s="43"/>
      <c r="T4" s="44" t="s">
        <v>73</v>
      </c>
    </row>
    <row r="5" spans="1:24" ht="15.75" thickBot="1">
      <c r="A5" s="26" t="s">
        <v>305</v>
      </c>
      <c r="B5" s="26" t="s">
        <v>1309</v>
      </c>
      <c r="C5" s="26" t="s">
        <v>1220</v>
      </c>
      <c r="D5" s="28" t="s">
        <v>1208</v>
      </c>
      <c r="E5" s="28" t="s">
        <v>330</v>
      </c>
      <c r="F5" s="28" t="s">
        <v>250</v>
      </c>
      <c r="G5" s="27">
        <v>12</v>
      </c>
      <c r="H5" s="27">
        <v>5</v>
      </c>
      <c r="I5" s="27">
        <v>1</v>
      </c>
      <c r="J5" s="28" t="s">
        <v>113</v>
      </c>
      <c r="K5" s="28" t="s">
        <v>69</v>
      </c>
      <c r="L5" s="28" t="s">
        <v>49</v>
      </c>
      <c r="M5" s="28" t="s">
        <v>49</v>
      </c>
      <c r="N5" s="28" t="s">
        <v>49</v>
      </c>
      <c r="O5" s="28"/>
      <c r="P5" s="28">
        <f t="shared" si="1"/>
        <v>27.5</v>
      </c>
      <c r="Q5" s="29">
        <f t="shared" si="0"/>
        <v>17.5</v>
      </c>
      <c r="S5" s="51"/>
      <c r="T5" s="45" t="s">
        <v>929</v>
      </c>
    </row>
    <row r="6" spans="1:24">
      <c r="A6" s="1" t="s">
        <v>257</v>
      </c>
      <c r="B6" s="1" t="s">
        <v>1308</v>
      </c>
      <c r="C6" s="1" t="s">
        <v>1221</v>
      </c>
      <c r="D6" s="4" t="s">
        <v>203</v>
      </c>
      <c r="E6" s="4" t="s">
        <v>246</v>
      </c>
      <c r="F6" s="4" t="s">
        <v>248</v>
      </c>
      <c r="G6" s="3">
        <v>10</v>
      </c>
      <c r="H6" s="3">
        <v>8</v>
      </c>
      <c r="I6" s="3">
        <v>1</v>
      </c>
      <c r="J6" s="4" t="s">
        <v>62</v>
      </c>
      <c r="K6" s="4" t="s">
        <v>69</v>
      </c>
      <c r="L6" s="4" t="s">
        <v>49</v>
      </c>
      <c r="M6" s="4" t="s">
        <v>49</v>
      </c>
      <c r="N6" s="4" t="s">
        <v>49</v>
      </c>
      <c r="P6" s="6">
        <f t="shared" si="1"/>
        <v>48</v>
      </c>
      <c r="Q6" s="5">
        <f t="shared" si="0"/>
        <v>28</v>
      </c>
    </row>
    <row r="7" spans="1:24">
      <c r="A7" s="26" t="s">
        <v>257</v>
      </c>
      <c r="B7" s="26" t="s">
        <v>1308</v>
      </c>
      <c r="C7" s="26" t="s">
        <v>1220</v>
      </c>
      <c r="D7" s="28" t="s">
        <v>656</v>
      </c>
      <c r="E7" s="28" t="s">
        <v>330</v>
      </c>
      <c r="F7" s="28" t="s">
        <v>812</v>
      </c>
      <c r="G7" s="27">
        <v>13</v>
      </c>
      <c r="H7" s="27">
        <v>6</v>
      </c>
      <c r="I7" s="27">
        <v>1</v>
      </c>
      <c r="J7" s="28" t="s">
        <v>232</v>
      </c>
      <c r="K7" s="28" t="s">
        <v>193</v>
      </c>
      <c r="L7" s="28" t="s">
        <v>49</v>
      </c>
      <c r="M7" s="28" t="s">
        <v>49</v>
      </c>
      <c r="N7" s="28" t="s">
        <v>49</v>
      </c>
      <c r="O7" s="49" t="s">
        <v>2481</v>
      </c>
      <c r="P7" s="28">
        <f t="shared" si="1"/>
        <v>36</v>
      </c>
      <c r="Q7" s="29">
        <f t="shared" si="0"/>
        <v>24</v>
      </c>
      <c r="R7" s="6"/>
      <c r="S7" s="13"/>
      <c r="T7" s="13"/>
      <c r="U7" s="13"/>
      <c r="V7" s="13"/>
      <c r="W7" s="13"/>
      <c r="X7" s="13"/>
    </row>
    <row r="8" spans="1:24">
      <c r="A8" s="1" t="s">
        <v>701</v>
      </c>
      <c r="B8" s="1" t="s">
        <v>1309</v>
      </c>
      <c r="C8" s="1" t="s">
        <v>1221</v>
      </c>
      <c r="D8" s="4" t="s">
        <v>681</v>
      </c>
      <c r="E8" s="4" t="s">
        <v>291</v>
      </c>
      <c r="F8" s="4" t="s">
        <v>246</v>
      </c>
      <c r="G8" s="3">
        <v>10</v>
      </c>
      <c r="H8" s="3">
        <v>8</v>
      </c>
      <c r="I8" s="3">
        <v>1</v>
      </c>
      <c r="J8" s="4" t="s">
        <v>174</v>
      </c>
      <c r="K8" s="4" t="s">
        <v>69</v>
      </c>
      <c r="L8" s="4" t="s">
        <v>49</v>
      </c>
      <c r="M8" s="4" t="s">
        <v>49</v>
      </c>
      <c r="N8" s="4" t="s">
        <v>49</v>
      </c>
      <c r="P8" s="6">
        <f t="shared" si="1"/>
        <v>44</v>
      </c>
      <c r="Q8" s="5">
        <f>$H8 * ((LEFT($K8, FIND("-",$K8)-1) + RIGHT($K8, LEN($K8) - FIND("-",$K8))) / 2)</f>
        <v>28</v>
      </c>
    </row>
    <row r="9" spans="1:24">
      <c r="A9" s="26" t="s">
        <v>319</v>
      </c>
      <c r="B9" s="26" t="s">
        <v>1309</v>
      </c>
      <c r="C9" s="26" t="s">
        <v>1220</v>
      </c>
      <c r="D9" s="28" t="s">
        <v>700</v>
      </c>
      <c r="E9" s="28" t="s">
        <v>330</v>
      </c>
      <c r="F9" s="28" t="s">
        <v>250</v>
      </c>
      <c r="G9" s="27">
        <v>12</v>
      </c>
      <c r="H9" s="27">
        <v>6</v>
      </c>
      <c r="I9" s="27">
        <v>1</v>
      </c>
      <c r="J9" s="28" t="s">
        <v>652</v>
      </c>
      <c r="K9" s="28" t="s">
        <v>231</v>
      </c>
      <c r="L9" s="28" t="s">
        <v>49</v>
      </c>
      <c r="M9" s="28" t="s">
        <v>49</v>
      </c>
      <c r="N9" s="28" t="s">
        <v>49</v>
      </c>
      <c r="O9" s="28" t="s">
        <v>2465</v>
      </c>
      <c r="P9" s="28">
        <f t="shared" si="1"/>
        <v>42</v>
      </c>
      <c r="Q9" s="29">
        <f>$H9 * ((LEFT($K9, FIND("-",$K9)-1) + RIGHT($K9, LEN($K9) - FIND("-",$K9))) / 2)</f>
        <v>27</v>
      </c>
    </row>
    <row r="10" spans="1:24">
      <c r="A10" s="1" t="s">
        <v>306</v>
      </c>
      <c r="B10" s="1" t="s">
        <v>1309</v>
      </c>
      <c r="C10" s="1" t="s">
        <v>1221</v>
      </c>
      <c r="D10" s="4" t="s">
        <v>562</v>
      </c>
      <c r="E10" s="4" t="s">
        <v>330</v>
      </c>
      <c r="F10" s="4" t="s">
        <v>291</v>
      </c>
      <c r="G10" s="3">
        <v>8</v>
      </c>
      <c r="H10" s="3">
        <v>4</v>
      </c>
      <c r="I10" s="3">
        <v>1</v>
      </c>
      <c r="J10" s="4" t="s">
        <v>100</v>
      </c>
      <c r="K10" s="4" t="s">
        <v>307</v>
      </c>
      <c r="L10" s="4" t="s">
        <v>49</v>
      </c>
      <c r="M10" s="4" t="s">
        <v>49</v>
      </c>
      <c r="N10" s="4" t="s">
        <v>49</v>
      </c>
      <c r="O10" s="4" t="s">
        <v>2479</v>
      </c>
      <c r="P10" s="6">
        <f t="shared" si="1"/>
        <v>12</v>
      </c>
      <c r="Q10" s="5">
        <f t="shared" si="0"/>
        <v>6</v>
      </c>
      <c r="T10" s="23"/>
      <c r="U10" s="23"/>
    </row>
    <row r="11" spans="1:24">
      <c r="A11" s="26" t="s">
        <v>306</v>
      </c>
      <c r="B11" s="26" t="s">
        <v>308</v>
      </c>
      <c r="C11" s="26" t="s">
        <v>1220</v>
      </c>
      <c r="D11" s="28" t="s">
        <v>212</v>
      </c>
      <c r="E11" s="28" t="s">
        <v>812</v>
      </c>
      <c r="F11" s="28" t="s">
        <v>248</v>
      </c>
      <c r="G11" s="27">
        <v>12</v>
      </c>
      <c r="H11" s="27">
        <v>8</v>
      </c>
      <c r="I11" s="27">
        <v>1</v>
      </c>
      <c r="J11" s="28" t="s">
        <v>231</v>
      </c>
      <c r="K11" s="28" t="s">
        <v>100</v>
      </c>
      <c r="L11" s="28" t="s">
        <v>49</v>
      </c>
      <c r="M11" s="28" t="s">
        <v>49</v>
      </c>
      <c r="N11" s="28" t="s">
        <v>49</v>
      </c>
      <c r="O11" s="28" t="s">
        <v>2480</v>
      </c>
      <c r="P11" s="28">
        <f t="shared" si="1"/>
        <v>36</v>
      </c>
      <c r="Q11" s="29">
        <f t="shared" si="0"/>
        <v>24</v>
      </c>
    </row>
    <row r="12" spans="1:24">
      <c r="A12" s="1" t="s">
        <v>308</v>
      </c>
      <c r="B12" s="1" t="s">
        <v>1309</v>
      </c>
      <c r="C12" s="1" t="s">
        <v>1221</v>
      </c>
      <c r="D12" s="4" t="s">
        <v>209</v>
      </c>
      <c r="E12" s="4" t="s">
        <v>291</v>
      </c>
      <c r="F12" s="4" t="s">
        <v>246</v>
      </c>
      <c r="G12" s="3">
        <v>10</v>
      </c>
      <c r="H12" s="3">
        <v>8</v>
      </c>
      <c r="I12" s="3">
        <v>1</v>
      </c>
      <c r="J12" s="4" t="s">
        <v>174</v>
      </c>
      <c r="K12" s="4" t="s">
        <v>69</v>
      </c>
      <c r="L12" s="4" t="s">
        <v>49</v>
      </c>
      <c r="M12" s="4" t="s">
        <v>49</v>
      </c>
      <c r="N12" s="4" t="s">
        <v>49</v>
      </c>
      <c r="P12" s="6">
        <f t="shared" si="1"/>
        <v>44</v>
      </c>
      <c r="Q12" s="5">
        <f t="shared" si="0"/>
        <v>28</v>
      </c>
    </row>
    <row r="13" spans="1:24">
      <c r="A13" s="26" t="s">
        <v>308</v>
      </c>
      <c r="B13" s="26" t="s">
        <v>308</v>
      </c>
      <c r="C13" s="26" t="s">
        <v>1221</v>
      </c>
      <c r="D13" s="28" t="s">
        <v>703</v>
      </c>
      <c r="E13" s="28" t="s">
        <v>246</v>
      </c>
      <c r="F13" s="28" t="s">
        <v>248</v>
      </c>
      <c r="G13" s="27">
        <v>14</v>
      </c>
      <c r="H13" s="27">
        <v>9</v>
      </c>
      <c r="I13" s="27">
        <v>1</v>
      </c>
      <c r="J13" s="28" t="s">
        <v>24</v>
      </c>
      <c r="K13" s="28" t="s">
        <v>193</v>
      </c>
      <c r="L13" s="28" t="s">
        <v>49</v>
      </c>
      <c r="M13" s="28" t="s">
        <v>49</v>
      </c>
      <c r="N13" s="28" t="s">
        <v>49</v>
      </c>
      <c r="O13" s="28"/>
      <c r="P13" s="28">
        <f t="shared" si="1"/>
        <v>54</v>
      </c>
      <c r="Q13" s="29">
        <f t="shared" si="0"/>
        <v>36</v>
      </c>
      <c r="R13" s="6"/>
      <c r="S13" s="13"/>
      <c r="T13" s="13"/>
      <c r="U13" s="13"/>
    </row>
    <row r="14" spans="1:24">
      <c r="A14" s="1" t="s">
        <v>710</v>
      </c>
      <c r="B14" s="1" t="s">
        <v>1309</v>
      </c>
      <c r="C14" s="1" t="s">
        <v>1221</v>
      </c>
      <c r="D14" s="4" t="s">
        <v>412</v>
      </c>
      <c r="E14" s="4" t="s">
        <v>291</v>
      </c>
      <c r="F14" s="4" t="s">
        <v>330</v>
      </c>
      <c r="G14" s="3">
        <v>12</v>
      </c>
      <c r="H14" s="3">
        <v>10</v>
      </c>
      <c r="I14" s="3">
        <v>1</v>
      </c>
      <c r="J14" s="4" t="s">
        <v>12</v>
      </c>
      <c r="K14" s="4" t="s">
        <v>24</v>
      </c>
      <c r="L14" s="4" t="s">
        <v>49</v>
      </c>
      <c r="M14" s="4" t="s">
        <v>49</v>
      </c>
      <c r="N14" s="4" t="s">
        <v>49</v>
      </c>
      <c r="P14" s="6">
        <f t="shared" si="1"/>
        <v>75</v>
      </c>
      <c r="Q14" s="5">
        <f t="shared" si="0"/>
        <v>60</v>
      </c>
    </row>
    <row r="15" spans="1:24">
      <c r="A15" s="26" t="s">
        <v>710</v>
      </c>
      <c r="B15" s="26" t="s">
        <v>308</v>
      </c>
      <c r="C15" s="26" t="s">
        <v>1221</v>
      </c>
      <c r="D15" s="28" t="s">
        <v>1214</v>
      </c>
      <c r="E15" s="28" t="s">
        <v>246</v>
      </c>
      <c r="F15" s="28" t="s">
        <v>248</v>
      </c>
      <c r="G15" s="27">
        <v>14</v>
      </c>
      <c r="H15" s="27">
        <v>10</v>
      </c>
      <c r="I15" s="27">
        <v>1</v>
      </c>
      <c r="J15" s="28" t="s">
        <v>273</v>
      </c>
      <c r="K15" s="28" t="s">
        <v>231</v>
      </c>
      <c r="L15" s="28" t="s">
        <v>49</v>
      </c>
      <c r="M15" s="28" t="s">
        <v>49</v>
      </c>
      <c r="N15" s="28" t="s">
        <v>49</v>
      </c>
      <c r="O15" s="28" t="s">
        <v>2465</v>
      </c>
      <c r="P15" s="28">
        <f t="shared" si="1"/>
        <v>65</v>
      </c>
      <c r="Q15" s="29">
        <f t="shared" si="0"/>
        <v>45</v>
      </c>
      <c r="R15" s="13"/>
      <c r="S15" s="13"/>
      <c r="T15" s="13"/>
      <c r="U15" s="13"/>
    </row>
    <row r="16" spans="1:24">
      <c r="A16" s="1" t="s">
        <v>320</v>
      </c>
      <c r="B16" s="1" t="s">
        <v>309</v>
      </c>
      <c r="C16" s="1" t="s">
        <v>1222</v>
      </c>
      <c r="D16" s="4" t="s">
        <v>282</v>
      </c>
      <c r="E16" s="4" t="s">
        <v>501</v>
      </c>
      <c r="F16" s="4" t="s">
        <v>211</v>
      </c>
      <c r="G16" s="3">
        <v>15</v>
      </c>
      <c r="H16" s="3">
        <v>4</v>
      </c>
      <c r="I16" s="3">
        <v>1</v>
      </c>
      <c r="J16" s="4" t="s">
        <v>68</v>
      </c>
      <c r="K16" s="4" t="s">
        <v>18</v>
      </c>
      <c r="L16" s="4" t="s">
        <v>49</v>
      </c>
      <c r="M16" s="4" t="s">
        <v>49</v>
      </c>
      <c r="N16" s="4" t="s">
        <v>49</v>
      </c>
      <c r="O16" s="4" t="s">
        <v>2480</v>
      </c>
      <c r="P16" s="6">
        <f t="shared" si="1"/>
        <v>22</v>
      </c>
      <c r="Q16" s="5">
        <f t="shared" si="0"/>
        <v>8</v>
      </c>
    </row>
    <row r="17" spans="1:23">
      <c r="A17" s="26" t="s">
        <v>320</v>
      </c>
      <c r="B17" s="26" t="s">
        <v>309</v>
      </c>
      <c r="C17" s="26" t="s">
        <v>1222</v>
      </c>
      <c r="D17" s="28" t="s">
        <v>568</v>
      </c>
      <c r="E17" s="28" t="s">
        <v>246</v>
      </c>
      <c r="F17" s="28" t="s">
        <v>212</v>
      </c>
      <c r="G17" s="27">
        <v>17</v>
      </c>
      <c r="H17" s="27">
        <v>6</v>
      </c>
      <c r="I17" s="27">
        <v>1</v>
      </c>
      <c r="J17" s="28" t="s">
        <v>62</v>
      </c>
      <c r="K17" s="28" t="s">
        <v>109</v>
      </c>
      <c r="L17" s="28" t="s">
        <v>49</v>
      </c>
      <c r="M17" s="28" t="s">
        <v>49</v>
      </c>
      <c r="N17" s="28" t="s">
        <v>49</v>
      </c>
      <c r="O17" s="28" t="s">
        <v>2480</v>
      </c>
      <c r="P17" s="28">
        <f t="shared" si="1"/>
        <v>36</v>
      </c>
      <c r="Q17" s="29">
        <f t="shared" si="0"/>
        <v>24</v>
      </c>
    </row>
    <row r="18" spans="1:23">
      <c r="A18" s="1" t="s">
        <v>309</v>
      </c>
      <c r="B18" s="1" t="s">
        <v>309</v>
      </c>
      <c r="C18" s="1" t="s">
        <v>1223</v>
      </c>
      <c r="D18" s="4" t="s">
        <v>338</v>
      </c>
      <c r="E18" s="4" t="s">
        <v>212</v>
      </c>
      <c r="F18" s="4" t="s">
        <v>212</v>
      </c>
      <c r="G18" s="3">
        <v>15</v>
      </c>
      <c r="H18" s="3">
        <v>6</v>
      </c>
      <c r="I18" s="3">
        <v>1</v>
      </c>
      <c r="J18" s="4" t="s">
        <v>62</v>
      </c>
      <c r="K18" s="4" t="s">
        <v>100</v>
      </c>
      <c r="L18" s="4" t="s">
        <v>49</v>
      </c>
      <c r="M18" s="4" t="s">
        <v>49</v>
      </c>
      <c r="N18" s="4" t="s">
        <v>49</v>
      </c>
      <c r="P18" s="6">
        <f t="shared" si="1"/>
        <v>36</v>
      </c>
      <c r="Q18" s="5">
        <f t="shared" si="0"/>
        <v>18</v>
      </c>
    </row>
    <row r="19" spans="1:23">
      <c r="A19" s="26" t="s">
        <v>309</v>
      </c>
      <c r="B19" s="26" t="s">
        <v>309</v>
      </c>
      <c r="C19" s="26" t="s">
        <v>1222</v>
      </c>
      <c r="D19" s="28" t="s">
        <v>571</v>
      </c>
      <c r="E19" s="28" t="s">
        <v>212</v>
      </c>
      <c r="F19" s="28" t="s">
        <v>212</v>
      </c>
      <c r="G19" s="27">
        <v>20</v>
      </c>
      <c r="H19" s="27">
        <v>7</v>
      </c>
      <c r="I19" s="27">
        <v>1</v>
      </c>
      <c r="J19" s="28" t="s">
        <v>314</v>
      </c>
      <c r="K19" s="28" t="s">
        <v>183</v>
      </c>
      <c r="L19" s="28" t="s">
        <v>49</v>
      </c>
      <c r="M19" s="28" t="s">
        <v>49</v>
      </c>
      <c r="N19" s="28" t="s">
        <v>49</v>
      </c>
      <c r="O19" s="28"/>
      <c r="P19" s="28">
        <f t="shared" si="1"/>
        <v>63</v>
      </c>
      <c r="Q19" s="29">
        <f t="shared" si="0"/>
        <v>35</v>
      </c>
    </row>
    <row r="20" spans="1:23">
      <c r="A20" s="1" t="s">
        <v>2042</v>
      </c>
      <c r="B20" s="1" t="s">
        <v>309</v>
      </c>
      <c r="C20" s="1" t="s">
        <v>1223</v>
      </c>
      <c r="D20" s="4" t="s">
        <v>380</v>
      </c>
      <c r="E20" s="4" t="s">
        <v>212</v>
      </c>
      <c r="F20" s="4" t="s">
        <v>212</v>
      </c>
      <c r="G20" s="3">
        <v>20</v>
      </c>
      <c r="H20" s="3">
        <v>6</v>
      </c>
      <c r="I20" s="3">
        <v>1</v>
      </c>
      <c r="J20" s="4" t="s">
        <v>62</v>
      </c>
      <c r="K20" s="4" t="s">
        <v>100</v>
      </c>
      <c r="L20" s="4" t="s">
        <v>49</v>
      </c>
      <c r="M20" s="4" t="s">
        <v>49</v>
      </c>
      <c r="N20" s="4" t="s">
        <v>49</v>
      </c>
      <c r="O20" s="4" t="s">
        <v>2474</v>
      </c>
      <c r="P20" s="6">
        <f t="shared" si="1"/>
        <v>36</v>
      </c>
      <c r="Q20" s="5">
        <f t="shared" si="0"/>
        <v>18</v>
      </c>
    </row>
    <row r="21" spans="1:23">
      <c r="A21" s="26" t="s">
        <v>1673</v>
      </c>
      <c r="B21" s="26" t="s">
        <v>309</v>
      </c>
      <c r="C21" s="26" t="s">
        <v>1222</v>
      </c>
      <c r="D21" s="28" t="s">
        <v>704</v>
      </c>
      <c r="E21" s="28" t="s">
        <v>212</v>
      </c>
      <c r="F21" s="28" t="s">
        <v>212</v>
      </c>
      <c r="G21" s="27">
        <v>25</v>
      </c>
      <c r="H21" s="27">
        <v>7</v>
      </c>
      <c r="I21" s="27">
        <v>1</v>
      </c>
      <c r="J21" s="28" t="s">
        <v>314</v>
      </c>
      <c r="K21" s="28" t="s">
        <v>183</v>
      </c>
      <c r="L21" s="28" t="s">
        <v>49</v>
      </c>
      <c r="M21" s="28" t="s">
        <v>49</v>
      </c>
      <c r="N21" s="28" t="s">
        <v>49</v>
      </c>
      <c r="O21" s="28" t="s">
        <v>2474</v>
      </c>
      <c r="P21" s="28">
        <f t="shared" si="1"/>
        <v>63</v>
      </c>
      <c r="Q21" s="29">
        <f t="shared" si="0"/>
        <v>35</v>
      </c>
    </row>
    <row r="22" spans="1:23">
      <c r="A22" s="1" t="s">
        <v>311</v>
      </c>
      <c r="B22" s="1" t="s">
        <v>309</v>
      </c>
      <c r="C22" s="1" t="s">
        <v>1222</v>
      </c>
      <c r="D22" s="4" t="s">
        <v>687</v>
      </c>
      <c r="E22" s="4" t="s">
        <v>291</v>
      </c>
      <c r="F22" s="4" t="s">
        <v>246</v>
      </c>
      <c r="G22" s="3">
        <v>15</v>
      </c>
      <c r="H22" s="3">
        <v>10</v>
      </c>
      <c r="I22" s="3">
        <v>1</v>
      </c>
      <c r="J22" s="4" t="s">
        <v>312</v>
      </c>
      <c r="K22" s="4" t="s">
        <v>100</v>
      </c>
      <c r="L22" s="4" t="s">
        <v>49</v>
      </c>
      <c r="M22" s="4" t="s">
        <v>49</v>
      </c>
      <c r="N22" s="4" t="s">
        <v>49</v>
      </c>
      <c r="P22" s="6">
        <f t="shared" si="1"/>
        <v>85</v>
      </c>
      <c r="Q22" s="5">
        <f t="shared" si="0"/>
        <v>30</v>
      </c>
    </row>
    <row r="23" spans="1:23">
      <c r="A23" s="26" t="s">
        <v>311</v>
      </c>
      <c r="B23" s="26" t="s">
        <v>311</v>
      </c>
      <c r="C23" s="26" t="s">
        <v>1220</v>
      </c>
      <c r="D23" s="28" t="s">
        <v>704</v>
      </c>
      <c r="E23" s="28" t="s">
        <v>246</v>
      </c>
      <c r="F23" s="28" t="s">
        <v>246</v>
      </c>
      <c r="G23" s="27">
        <v>14</v>
      </c>
      <c r="H23" s="27">
        <v>9</v>
      </c>
      <c r="I23" s="27">
        <v>1</v>
      </c>
      <c r="J23" s="28" t="s">
        <v>19</v>
      </c>
      <c r="K23" s="28" t="s">
        <v>77</v>
      </c>
      <c r="L23" s="28" t="s">
        <v>49</v>
      </c>
      <c r="M23" s="28" t="s">
        <v>49</v>
      </c>
      <c r="N23" s="28" t="s">
        <v>49</v>
      </c>
      <c r="O23" s="28"/>
      <c r="P23" s="28">
        <f t="shared" si="1"/>
        <v>67.5</v>
      </c>
      <c r="Q23" s="29">
        <f t="shared" si="0"/>
        <v>40.5</v>
      </c>
    </row>
    <row r="24" spans="1:23">
      <c r="A24" s="1" t="s">
        <v>310</v>
      </c>
      <c r="B24" s="1" t="s">
        <v>309</v>
      </c>
      <c r="C24" s="1" t="s">
        <v>1222</v>
      </c>
      <c r="D24" s="4" t="s">
        <v>684</v>
      </c>
      <c r="E24" s="4" t="s">
        <v>212</v>
      </c>
      <c r="F24" s="4" t="s">
        <v>331</v>
      </c>
      <c r="G24" s="3">
        <v>15</v>
      </c>
      <c r="H24" s="3">
        <v>8</v>
      </c>
      <c r="I24" s="3">
        <v>1</v>
      </c>
      <c r="J24" s="4" t="s">
        <v>31</v>
      </c>
      <c r="K24" s="4" t="s">
        <v>68</v>
      </c>
      <c r="L24" s="4" t="s">
        <v>49</v>
      </c>
      <c r="M24" s="4" t="s">
        <v>49</v>
      </c>
      <c r="N24" s="4" t="s">
        <v>49</v>
      </c>
      <c r="P24" s="6">
        <f t="shared" si="1"/>
        <v>64</v>
      </c>
      <c r="Q24" s="5">
        <f t="shared" si="0"/>
        <v>44</v>
      </c>
    </row>
    <row r="25" spans="1:23">
      <c r="A25" s="26" t="s">
        <v>310</v>
      </c>
      <c r="B25" s="26" t="s">
        <v>311</v>
      </c>
      <c r="C25" s="26" t="s">
        <v>1222</v>
      </c>
      <c r="D25" s="28" t="s">
        <v>705</v>
      </c>
      <c r="E25" s="28" t="s">
        <v>212</v>
      </c>
      <c r="F25" s="28" t="s">
        <v>331</v>
      </c>
      <c r="G25" s="27">
        <v>16</v>
      </c>
      <c r="H25" s="27">
        <v>11</v>
      </c>
      <c r="I25" s="27">
        <v>1</v>
      </c>
      <c r="J25" s="28" t="s">
        <v>181</v>
      </c>
      <c r="K25" s="28" t="s">
        <v>231</v>
      </c>
      <c r="L25" s="28" t="s">
        <v>49</v>
      </c>
      <c r="M25" s="28" t="s">
        <v>49</v>
      </c>
      <c r="N25" s="28" t="s">
        <v>49</v>
      </c>
      <c r="O25" s="28" t="s">
        <v>2465</v>
      </c>
      <c r="P25" s="28">
        <f t="shared" si="1"/>
        <v>88</v>
      </c>
      <c r="Q25" s="29">
        <f t="shared" si="0"/>
        <v>49.5</v>
      </c>
    </row>
    <row r="26" spans="1:23">
      <c r="A26" s="1" t="s">
        <v>313</v>
      </c>
      <c r="B26" s="1" t="s">
        <v>309</v>
      </c>
      <c r="C26" s="1" t="s">
        <v>1230</v>
      </c>
      <c r="D26" s="4" t="s">
        <v>338</v>
      </c>
      <c r="E26" s="4" t="s">
        <v>212</v>
      </c>
      <c r="F26" s="4" t="s">
        <v>211</v>
      </c>
      <c r="G26" s="3">
        <v>5</v>
      </c>
      <c r="H26" s="3">
        <v>4</v>
      </c>
      <c r="I26" s="3">
        <v>1</v>
      </c>
      <c r="J26" s="4" t="s">
        <v>68</v>
      </c>
      <c r="K26" s="4" t="s">
        <v>68</v>
      </c>
      <c r="L26" s="4" t="s">
        <v>49</v>
      </c>
      <c r="M26" s="4" t="s">
        <v>49</v>
      </c>
      <c r="N26" s="4" t="s">
        <v>49</v>
      </c>
      <c r="P26" s="6">
        <f t="shared" si="1"/>
        <v>22</v>
      </c>
      <c r="Q26" s="5">
        <f>$H26 * ((LEFT($K26, FIND("-",$K26)-1) + RIGHT($K26, LEN($K26) - FIND("-",$K26))) / 2)</f>
        <v>22</v>
      </c>
    </row>
    <row r="27" spans="1:23">
      <c r="A27" s="26" t="s">
        <v>313</v>
      </c>
      <c r="B27" s="48" t="s">
        <v>313</v>
      </c>
      <c r="C27" s="26" t="s">
        <v>1223</v>
      </c>
      <c r="D27" s="28" t="s">
        <v>204</v>
      </c>
      <c r="E27" s="28" t="s">
        <v>331</v>
      </c>
      <c r="F27" s="28" t="s">
        <v>331</v>
      </c>
      <c r="G27" s="27">
        <v>7</v>
      </c>
      <c r="H27" s="27">
        <v>4</v>
      </c>
      <c r="I27" s="27">
        <v>2</v>
      </c>
      <c r="J27" s="28" t="s">
        <v>146</v>
      </c>
      <c r="K27" s="28" t="s">
        <v>317</v>
      </c>
      <c r="L27" s="28" t="s">
        <v>49</v>
      </c>
      <c r="M27" s="28" t="s">
        <v>49</v>
      </c>
      <c r="N27" s="28" t="s">
        <v>49</v>
      </c>
      <c r="O27" s="28" t="s">
        <v>2482</v>
      </c>
      <c r="P27" s="28">
        <f t="shared" si="1"/>
        <v>60</v>
      </c>
      <c r="Q27" s="29">
        <f>$H27 * ((LEFT($K27, FIND("-",$K27)-1) + RIGHT($K27, LEN($K27) - FIND("-",$K27))) / 2)</f>
        <v>48</v>
      </c>
    </row>
    <row r="28" spans="1:23">
      <c r="A28" s="1" t="s">
        <v>254</v>
      </c>
      <c r="B28" s="1" t="s">
        <v>309</v>
      </c>
      <c r="C28" s="1" t="s">
        <v>1222</v>
      </c>
      <c r="D28" s="4" t="s">
        <v>686</v>
      </c>
      <c r="E28" s="4" t="s">
        <v>211</v>
      </c>
      <c r="F28" s="4" t="s">
        <v>211</v>
      </c>
      <c r="G28" s="3">
        <v>15</v>
      </c>
      <c r="H28" s="3">
        <v>6</v>
      </c>
      <c r="I28" s="3">
        <v>1</v>
      </c>
      <c r="J28" s="4" t="s">
        <v>255</v>
      </c>
      <c r="K28" s="4" t="s">
        <v>68</v>
      </c>
      <c r="L28" s="4" t="s">
        <v>49</v>
      </c>
      <c r="M28" s="4" t="s">
        <v>49</v>
      </c>
      <c r="N28" s="4" t="s">
        <v>49</v>
      </c>
      <c r="P28" s="6">
        <f t="shared" si="1"/>
        <v>48</v>
      </c>
      <c r="Q28" s="5">
        <f t="shared" si="0"/>
        <v>33</v>
      </c>
    </row>
    <row r="29" spans="1:23">
      <c r="A29" s="26" t="s">
        <v>254</v>
      </c>
      <c r="B29" s="26" t="s">
        <v>1325</v>
      </c>
      <c r="C29" s="26" t="s">
        <v>1224</v>
      </c>
      <c r="D29" s="28" t="s">
        <v>846</v>
      </c>
      <c r="E29" s="28" t="s">
        <v>211</v>
      </c>
      <c r="F29" s="28" t="s">
        <v>211</v>
      </c>
      <c r="G29" s="27">
        <v>18</v>
      </c>
      <c r="H29" s="27">
        <v>6</v>
      </c>
      <c r="I29" s="27">
        <v>2</v>
      </c>
      <c r="J29" s="28" t="s">
        <v>708</v>
      </c>
      <c r="K29" s="28" t="s">
        <v>111</v>
      </c>
      <c r="L29" s="28" t="s">
        <v>49</v>
      </c>
      <c r="M29" s="28" t="s">
        <v>49</v>
      </c>
      <c r="N29" s="28" t="s">
        <v>49</v>
      </c>
      <c r="O29" s="28"/>
      <c r="P29" s="28">
        <f t="shared" si="1"/>
        <v>96</v>
      </c>
      <c r="Q29" s="29">
        <f t="shared" si="0"/>
        <v>54</v>
      </c>
    </row>
    <row r="30" spans="1:23">
      <c r="A30" s="1" t="s">
        <v>98</v>
      </c>
      <c r="B30" s="1" t="s">
        <v>309</v>
      </c>
      <c r="C30" s="1" t="s">
        <v>1222</v>
      </c>
      <c r="D30" s="4" t="s">
        <v>698</v>
      </c>
      <c r="E30" s="4" t="s">
        <v>212</v>
      </c>
      <c r="F30" s="4" t="s">
        <v>331</v>
      </c>
      <c r="G30" s="3">
        <v>20</v>
      </c>
      <c r="H30" s="3">
        <v>4</v>
      </c>
      <c r="I30" s="3">
        <v>1</v>
      </c>
      <c r="J30" s="4" t="s">
        <v>111</v>
      </c>
      <c r="K30" s="4" t="s">
        <v>24</v>
      </c>
      <c r="L30" s="4" t="s">
        <v>49</v>
      </c>
      <c r="M30" s="4" t="s">
        <v>49</v>
      </c>
      <c r="N30" s="4" t="s">
        <v>49</v>
      </c>
      <c r="P30" s="6">
        <f t="shared" si="1"/>
        <v>36</v>
      </c>
      <c r="Q30" s="5">
        <f t="shared" si="0"/>
        <v>24</v>
      </c>
    </row>
    <row r="31" spans="1:23">
      <c r="A31" s="26" t="s">
        <v>177</v>
      </c>
      <c r="B31" s="26" t="s">
        <v>1321</v>
      </c>
      <c r="C31" s="48" t="s">
        <v>1237</v>
      </c>
      <c r="D31" s="28" t="s">
        <v>707</v>
      </c>
      <c r="E31" s="28" t="s">
        <v>212</v>
      </c>
      <c r="F31" s="28" t="s">
        <v>212</v>
      </c>
      <c r="G31" s="27">
        <v>25</v>
      </c>
      <c r="H31" s="27">
        <v>4</v>
      </c>
      <c r="I31" s="27">
        <v>1</v>
      </c>
      <c r="J31" s="28" t="s">
        <v>146</v>
      </c>
      <c r="K31" s="28" t="s">
        <v>19</v>
      </c>
      <c r="L31" s="28" t="s">
        <v>49</v>
      </c>
      <c r="M31" s="28" t="s">
        <v>49</v>
      </c>
      <c r="N31" s="28" t="s">
        <v>49</v>
      </c>
      <c r="O31" s="49" t="s">
        <v>2483</v>
      </c>
      <c r="P31" s="28">
        <f t="shared" si="1"/>
        <v>60</v>
      </c>
      <c r="Q31" s="29">
        <f t="shared" si="0"/>
        <v>30</v>
      </c>
      <c r="R31" s="6"/>
      <c r="S31" s="13"/>
      <c r="T31" s="13"/>
      <c r="U31" s="13"/>
      <c r="V31" s="13"/>
      <c r="W31" s="13"/>
    </row>
    <row r="32" spans="1:23">
      <c r="A32" s="1" t="s">
        <v>1304</v>
      </c>
      <c r="B32" s="1" t="s">
        <v>1309</v>
      </c>
      <c r="C32" s="1" t="s">
        <v>1221</v>
      </c>
      <c r="D32" s="4" t="s">
        <v>697</v>
      </c>
      <c r="E32" s="4" t="s">
        <v>330</v>
      </c>
      <c r="F32" s="4" t="s">
        <v>246</v>
      </c>
      <c r="G32" s="3">
        <v>15</v>
      </c>
      <c r="H32" s="3">
        <v>5</v>
      </c>
      <c r="I32" s="3">
        <v>1</v>
      </c>
      <c r="J32" s="4" t="s">
        <v>193</v>
      </c>
      <c r="K32" s="4" t="s">
        <v>20</v>
      </c>
      <c r="L32" s="4" t="s">
        <v>49</v>
      </c>
      <c r="M32" s="4" t="s">
        <v>49</v>
      </c>
      <c r="N32" s="4" t="s">
        <v>49</v>
      </c>
      <c r="O32" s="4" t="s">
        <v>2465</v>
      </c>
      <c r="P32" s="6">
        <f t="shared" si="1"/>
        <v>20</v>
      </c>
      <c r="Q32" s="5">
        <f t="shared" si="0"/>
        <v>12.5</v>
      </c>
    </row>
    <row r="33" spans="1:30">
      <c r="A33" s="26" t="s">
        <v>315</v>
      </c>
      <c r="B33" s="26" t="s">
        <v>1309</v>
      </c>
      <c r="C33" s="26" t="s">
        <v>1220</v>
      </c>
      <c r="D33" s="28" t="s">
        <v>412</v>
      </c>
      <c r="E33" s="28" t="s">
        <v>330</v>
      </c>
      <c r="F33" s="28" t="s">
        <v>250</v>
      </c>
      <c r="G33" s="27">
        <v>13</v>
      </c>
      <c r="H33" s="27">
        <v>6</v>
      </c>
      <c r="I33" s="27">
        <v>1</v>
      </c>
      <c r="J33" s="28" t="s">
        <v>24</v>
      </c>
      <c r="K33" s="28" t="s">
        <v>193</v>
      </c>
      <c r="L33" s="28" t="s">
        <v>49</v>
      </c>
      <c r="M33" s="28" t="s">
        <v>49</v>
      </c>
      <c r="N33" s="28" t="s">
        <v>49</v>
      </c>
      <c r="O33" s="28" t="s">
        <v>2465</v>
      </c>
      <c r="P33" s="28">
        <f t="shared" si="1"/>
        <v>36</v>
      </c>
      <c r="Q33" s="29">
        <f t="shared" si="0"/>
        <v>24</v>
      </c>
    </row>
    <row r="34" spans="1:30">
      <c r="A34" s="1" t="s">
        <v>256</v>
      </c>
      <c r="B34" s="1" t="s">
        <v>1309</v>
      </c>
      <c r="C34" s="1" t="s">
        <v>1221</v>
      </c>
      <c r="D34" s="4" t="s">
        <v>685</v>
      </c>
      <c r="E34" s="4" t="s">
        <v>246</v>
      </c>
      <c r="F34" s="4" t="s">
        <v>248</v>
      </c>
      <c r="G34" s="3">
        <v>15</v>
      </c>
      <c r="H34" s="3">
        <v>12</v>
      </c>
      <c r="I34" s="3">
        <v>1</v>
      </c>
      <c r="J34" s="4" t="s">
        <v>12</v>
      </c>
      <c r="K34" s="4" t="s">
        <v>24</v>
      </c>
      <c r="L34" s="4" t="s">
        <v>49</v>
      </c>
      <c r="M34" s="4" t="s">
        <v>49</v>
      </c>
      <c r="N34" s="4" t="s">
        <v>49</v>
      </c>
      <c r="O34" s="4" t="s">
        <v>2465</v>
      </c>
      <c r="P34" s="6">
        <f t="shared" si="1"/>
        <v>90</v>
      </c>
      <c r="Q34" s="5">
        <f t="shared" si="0"/>
        <v>72</v>
      </c>
    </row>
    <row r="35" spans="1:30">
      <c r="A35" s="26" t="s">
        <v>256</v>
      </c>
      <c r="B35" s="26" t="s">
        <v>308</v>
      </c>
      <c r="C35" s="26" t="s">
        <v>1221</v>
      </c>
      <c r="D35" s="28" t="s">
        <v>565</v>
      </c>
      <c r="E35" s="28" t="s">
        <v>246</v>
      </c>
      <c r="F35" s="28" t="s">
        <v>248</v>
      </c>
      <c r="G35" s="27">
        <v>15</v>
      </c>
      <c r="H35" s="27">
        <v>10</v>
      </c>
      <c r="I35" s="27">
        <v>1</v>
      </c>
      <c r="J35" s="28" t="s">
        <v>1402</v>
      </c>
      <c r="K35" s="28" t="s">
        <v>110</v>
      </c>
      <c r="L35" s="28" t="s">
        <v>49</v>
      </c>
      <c r="M35" s="28" t="s">
        <v>49</v>
      </c>
      <c r="N35" s="28" t="s">
        <v>49</v>
      </c>
      <c r="O35" s="28" t="s">
        <v>2465</v>
      </c>
      <c r="P35" s="28">
        <f t="shared" si="1"/>
        <v>75</v>
      </c>
      <c r="Q35" s="29">
        <f t="shared" si="0"/>
        <v>50</v>
      </c>
    </row>
    <row r="36" spans="1:30">
      <c r="A36" s="1" t="s">
        <v>253</v>
      </c>
      <c r="B36" s="1" t="s">
        <v>1308</v>
      </c>
      <c r="C36" s="1" t="s">
        <v>1220</v>
      </c>
      <c r="D36" s="4" t="s">
        <v>696</v>
      </c>
      <c r="E36" s="4" t="s">
        <v>246</v>
      </c>
      <c r="F36" s="4" t="s">
        <v>248</v>
      </c>
      <c r="G36" s="3">
        <v>15</v>
      </c>
      <c r="H36" s="3">
        <v>12</v>
      </c>
      <c r="I36" s="3">
        <v>1</v>
      </c>
      <c r="J36" s="4" t="s">
        <v>12</v>
      </c>
      <c r="K36" s="4" t="s">
        <v>24</v>
      </c>
      <c r="L36" s="4" t="s">
        <v>49</v>
      </c>
      <c r="M36" s="4" t="s">
        <v>49</v>
      </c>
      <c r="N36" s="4" t="s">
        <v>49</v>
      </c>
      <c r="O36" s="4" t="s">
        <v>2465</v>
      </c>
      <c r="P36" s="6">
        <f t="shared" si="1"/>
        <v>90</v>
      </c>
      <c r="Q36" s="5">
        <f t="shared" ref="Q36:Q67" si="2">$H36 * ((LEFT($K36, FIND("-",$K36)-1) + RIGHT($K36, LEN($K36) - FIND("-",$K36))) / 2)</f>
        <v>72</v>
      </c>
    </row>
    <row r="37" spans="1:30">
      <c r="A37" s="26" t="s">
        <v>253</v>
      </c>
      <c r="B37" s="26" t="s">
        <v>1308</v>
      </c>
      <c r="C37" s="26" t="s">
        <v>1221</v>
      </c>
      <c r="D37" s="28" t="s">
        <v>204</v>
      </c>
      <c r="E37" s="28" t="s">
        <v>246</v>
      </c>
      <c r="F37" s="28" t="s">
        <v>249</v>
      </c>
      <c r="G37" s="27">
        <v>16</v>
      </c>
      <c r="H37" s="27">
        <v>10</v>
      </c>
      <c r="I37" s="27">
        <v>1</v>
      </c>
      <c r="J37" s="28" t="s">
        <v>867</v>
      </c>
      <c r="K37" s="28" t="s">
        <v>1403</v>
      </c>
      <c r="L37" s="28" t="s">
        <v>49</v>
      </c>
      <c r="M37" s="28" t="s">
        <v>49</v>
      </c>
      <c r="N37" s="28" t="s">
        <v>49</v>
      </c>
      <c r="O37" s="49" t="s">
        <v>2484</v>
      </c>
      <c r="P37" s="28">
        <f t="shared" si="1"/>
        <v>90</v>
      </c>
      <c r="Q37" s="29">
        <f t="shared" si="2"/>
        <v>55</v>
      </c>
      <c r="R37" s="6"/>
      <c r="S37" s="13"/>
      <c r="T37" s="13"/>
      <c r="U37" s="13"/>
      <c r="V37" s="13"/>
      <c r="W37" s="13"/>
      <c r="X37" s="6"/>
      <c r="Y37" s="13"/>
      <c r="Z37" s="13"/>
      <c r="AA37" s="13"/>
      <c r="AB37" s="13"/>
      <c r="AC37" s="13"/>
      <c r="AD37" s="13"/>
    </row>
    <row r="38" spans="1:30">
      <c r="A38" s="1" t="s">
        <v>228</v>
      </c>
      <c r="B38" s="1" t="s">
        <v>309</v>
      </c>
      <c r="C38" s="1" t="s">
        <v>1222</v>
      </c>
      <c r="D38" s="4" t="s">
        <v>566</v>
      </c>
      <c r="E38" s="4" t="s">
        <v>212</v>
      </c>
      <c r="F38" s="4" t="s">
        <v>211</v>
      </c>
      <c r="G38" s="3">
        <v>25</v>
      </c>
      <c r="H38" s="3">
        <v>14</v>
      </c>
      <c r="I38" s="3">
        <v>1</v>
      </c>
      <c r="J38" s="4" t="s">
        <v>159</v>
      </c>
      <c r="K38" s="4" t="s">
        <v>29</v>
      </c>
      <c r="L38" s="4" t="s">
        <v>49</v>
      </c>
      <c r="M38" s="4" t="s">
        <v>49</v>
      </c>
      <c r="N38" s="4" t="s">
        <v>49</v>
      </c>
      <c r="P38" s="6">
        <f t="shared" si="1"/>
        <v>119</v>
      </c>
      <c r="Q38" s="5">
        <f t="shared" si="2"/>
        <v>63</v>
      </c>
      <c r="R38" s="13"/>
      <c r="S38" s="13"/>
      <c r="T38" s="13"/>
      <c r="U38" s="13"/>
      <c r="V38" s="13"/>
    </row>
    <row r="39" spans="1:30">
      <c r="A39" s="26" t="s">
        <v>228</v>
      </c>
      <c r="B39" s="26" t="s">
        <v>309</v>
      </c>
      <c r="C39" s="26" t="s">
        <v>1223</v>
      </c>
      <c r="D39" s="28" t="s">
        <v>566</v>
      </c>
      <c r="E39" s="28" t="s">
        <v>212</v>
      </c>
      <c r="F39" s="28" t="s">
        <v>657</v>
      </c>
      <c r="G39" s="27">
        <v>20</v>
      </c>
      <c r="H39" s="27">
        <v>14</v>
      </c>
      <c r="I39" s="27">
        <v>1</v>
      </c>
      <c r="J39" s="28" t="s">
        <v>46</v>
      </c>
      <c r="K39" s="28" t="s">
        <v>24</v>
      </c>
      <c r="L39" s="28" t="s">
        <v>49</v>
      </c>
      <c r="M39" s="28" t="s">
        <v>49</v>
      </c>
      <c r="N39" s="28" t="s">
        <v>49</v>
      </c>
      <c r="O39" s="28"/>
      <c r="P39" s="28">
        <f t="shared" si="1"/>
        <v>140</v>
      </c>
      <c r="Q39" s="29">
        <f t="shared" si="2"/>
        <v>84</v>
      </c>
      <c r="R39" s="13"/>
      <c r="S39" s="13"/>
      <c r="T39" s="13"/>
      <c r="U39" s="13"/>
      <c r="V39" s="13"/>
    </row>
    <row r="40" spans="1:30">
      <c r="A40" s="1" t="s">
        <v>233</v>
      </c>
      <c r="B40" s="1" t="s">
        <v>309</v>
      </c>
      <c r="C40" s="1" t="s">
        <v>1222</v>
      </c>
      <c r="D40" s="4" t="s">
        <v>694</v>
      </c>
      <c r="E40" s="4" t="s">
        <v>212</v>
      </c>
      <c r="F40" s="4" t="s">
        <v>211</v>
      </c>
      <c r="G40" s="3">
        <v>15</v>
      </c>
      <c r="H40" s="3">
        <v>5</v>
      </c>
      <c r="I40" s="3">
        <v>1</v>
      </c>
      <c r="J40" s="4" t="s">
        <v>31</v>
      </c>
      <c r="K40" s="4" t="s">
        <v>18</v>
      </c>
      <c r="L40" s="4" t="s">
        <v>49</v>
      </c>
      <c r="M40" s="4" t="s">
        <v>49</v>
      </c>
      <c r="N40" s="4" t="s">
        <v>49</v>
      </c>
      <c r="O40" s="4" t="s">
        <v>234</v>
      </c>
      <c r="P40" s="6">
        <f t="shared" si="1"/>
        <v>40</v>
      </c>
      <c r="Q40" s="5">
        <f t="shared" si="2"/>
        <v>10</v>
      </c>
    </row>
    <row r="41" spans="1:30">
      <c r="A41" s="26" t="s">
        <v>233</v>
      </c>
      <c r="B41" s="26" t="s">
        <v>1890</v>
      </c>
      <c r="C41" s="48" t="s">
        <v>1883</v>
      </c>
      <c r="D41" s="28" t="s">
        <v>534</v>
      </c>
      <c r="E41" s="28" t="s">
        <v>212</v>
      </c>
      <c r="F41" s="28" t="s">
        <v>211</v>
      </c>
      <c r="G41" s="27">
        <v>15</v>
      </c>
      <c r="H41" s="27">
        <v>10</v>
      </c>
      <c r="I41" s="27">
        <v>1</v>
      </c>
      <c r="J41" s="28" t="s">
        <v>1888</v>
      </c>
      <c r="K41" s="28" t="s">
        <v>19</v>
      </c>
      <c r="L41" s="28" t="s">
        <v>49</v>
      </c>
      <c r="M41" s="28" t="s">
        <v>49</v>
      </c>
      <c r="N41" s="28" t="s">
        <v>2087</v>
      </c>
      <c r="O41" s="28" t="s">
        <v>1882</v>
      </c>
      <c r="P41" s="28">
        <f t="shared" si="1"/>
        <v>240</v>
      </c>
      <c r="Q41" s="29">
        <f t="shared" si="2"/>
        <v>75</v>
      </c>
      <c r="R41" s="13"/>
      <c r="S41" s="13"/>
      <c r="T41" s="13"/>
      <c r="U41" s="13"/>
      <c r="V41" s="13"/>
      <c r="W41" s="13"/>
      <c r="X41" s="13"/>
    </row>
    <row r="42" spans="1:30">
      <c r="A42" s="1" t="s">
        <v>112</v>
      </c>
      <c r="B42" s="1" t="s">
        <v>309</v>
      </c>
      <c r="C42" s="1" t="s">
        <v>1222</v>
      </c>
      <c r="D42" s="4" t="s">
        <v>684</v>
      </c>
      <c r="E42" s="4" t="s">
        <v>246</v>
      </c>
      <c r="F42" s="4" t="s">
        <v>212</v>
      </c>
      <c r="G42" s="3">
        <v>25</v>
      </c>
      <c r="H42" s="3">
        <v>1</v>
      </c>
      <c r="I42" s="3">
        <v>1</v>
      </c>
      <c r="J42" s="4" t="s">
        <v>22</v>
      </c>
      <c r="K42" s="4" t="s">
        <v>31</v>
      </c>
      <c r="L42" s="4" t="s">
        <v>49</v>
      </c>
      <c r="M42" s="4" t="s">
        <v>49</v>
      </c>
      <c r="N42" s="4" t="s">
        <v>49</v>
      </c>
      <c r="O42" s="4" t="s">
        <v>2475</v>
      </c>
      <c r="P42" s="6">
        <f t="shared" si="1"/>
        <v>20</v>
      </c>
      <c r="Q42" s="5">
        <f t="shared" si="2"/>
        <v>8</v>
      </c>
    </row>
    <row r="43" spans="1:30">
      <c r="A43" s="26" t="s">
        <v>176</v>
      </c>
      <c r="B43" s="26" t="s">
        <v>176</v>
      </c>
      <c r="C43" s="48" t="s">
        <v>1236</v>
      </c>
      <c r="D43" s="28" t="s">
        <v>295</v>
      </c>
      <c r="E43" s="28" t="s">
        <v>212</v>
      </c>
      <c r="F43" s="28" t="s">
        <v>211</v>
      </c>
      <c r="G43" s="27">
        <v>35</v>
      </c>
      <c r="H43" s="27">
        <v>4</v>
      </c>
      <c r="I43" s="27">
        <v>2</v>
      </c>
      <c r="J43" s="28" t="s">
        <v>107</v>
      </c>
      <c r="K43" s="28" t="s">
        <v>56</v>
      </c>
      <c r="L43" s="28" t="s">
        <v>49</v>
      </c>
      <c r="M43" s="28" t="s">
        <v>49</v>
      </c>
      <c r="N43" s="28" t="s">
        <v>49</v>
      </c>
      <c r="O43" s="49" t="s">
        <v>2485</v>
      </c>
      <c r="P43" s="28">
        <f t="shared" si="1"/>
        <v>110</v>
      </c>
      <c r="Q43" s="29">
        <f t="shared" si="2"/>
        <v>50</v>
      </c>
      <c r="R43" s="6"/>
      <c r="S43" s="13"/>
      <c r="T43" s="13"/>
      <c r="U43" s="13"/>
      <c r="V43" s="13"/>
      <c r="W43" s="13"/>
    </row>
    <row r="44" spans="1:30">
      <c r="A44" s="1" t="s">
        <v>179</v>
      </c>
      <c r="B44" s="1" t="s">
        <v>309</v>
      </c>
      <c r="C44" s="1" t="s">
        <v>1222</v>
      </c>
      <c r="D44" s="4" t="s">
        <v>681</v>
      </c>
      <c r="E44" s="4" t="s">
        <v>291</v>
      </c>
      <c r="F44" s="4" t="s">
        <v>212</v>
      </c>
      <c r="G44" s="3">
        <v>30</v>
      </c>
      <c r="H44" s="3">
        <v>5</v>
      </c>
      <c r="I44" s="3">
        <v>1</v>
      </c>
      <c r="J44" s="4" t="s">
        <v>22</v>
      </c>
      <c r="K44" s="4" t="s">
        <v>68</v>
      </c>
      <c r="L44" s="4" t="s">
        <v>49</v>
      </c>
      <c r="M44" s="4" t="s">
        <v>49</v>
      </c>
      <c r="N44" s="4" t="s">
        <v>49</v>
      </c>
      <c r="O44" s="4" t="s">
        <v>2465</v>
      </c>
      <c r="P44" s="6">
        <f t="shared" si="1"/>
        <v>100</v>
      </c>
      <c r="Q44" s="5">
        <f t="shared" si="2"/>
        <v>27.5</v>
      </c>
    </row>
    <row r="45" spans="1:30">
      <c r="A45" s="26" t="s">
        <v>179</v>
      </c>
      <c r="B45" s="48" t="s">
        <v>1320</v>
      </c>
      <c r="C45" s="48" t="s">
        <v>1265</v>
      </c>
      <c r="D45" s="28" t="s">
        <v>1314</v>
      </c>
      <c r="E45" s="28" t="s">
        <v>660</v>
      </c>
      <c r="F45" s="28" t="s">
        <v>660</v>
      </c>
      <c r="G45" s="27">
        <v>30</v>
      </c>
      <c r="H45" s="27">
        <v>5</v>
      </c>
      <c r="I45" s="27">
        <v>2</v>
      </c>
      <c r="J45" s="28" t="s">
        <v>298</v>
      </c>
      <c r="K45" s="28" t="s">
        <v>46</v>
      </c>
      <c r="L45" s="28" t="s">
        <v>49</v>
      </c>
      <c r="M45" s="28" t="s">
        <v>49</v>
      </c>
      <c r="N45" s="28" t="s">
        <v>49</v>
      </c>
      <c r="O45" s="49" t="s">
        <v>2486</v>
      </c>
      <c r="P45" s="28">
        <f t="shared" si="1"/>
        <v>112.5</v>
      </c>
      <c r="Q45" s="29">
        <f t="shared" si="2"/>
        <v>50</v>
      </c>
      <c r="R45" s="6"/>
      <c r="S45" s="13"/>
      <c r="T45" s="13"/>
      <c r="U45" s="13"/>
      <c r="V45" s="13"/>
      <c r="W45" s="13"/>
    </row>
    <row r="46" spans="1:30">
      <c r="A46" s="1" t="s">
        <v>30</v>
      </c>
      <c r="B46" s="1" t="s">
        <v>309</v>
      </c>
      <c r="C46" s="1" t="s">
        <v>1222</v>
      </c>
      <c r="D46" s="4" t="s">
        <v>695</v>
      </c>
      <c r="E46" s="4" t="s">
        <v>212</v>
      </c>
      <c r="F46" s="4" t="s">
        <v>211</v>
      </c>
      <c r="G46" s="3">
        <v>15</v>
      </c>
      <c r="H46" s="3">
        <v>5</v>
      </c>
      <c r="I46" s="3">
        <v>1</v>
      </c>
      <c r="J46" s="4" t="s">
        <v>31</v>
      </c>
      <c r="K46" s="4" t="s">
        <v>18</v>
      </c>
      <c r="L46" s="4" t="s">
        <v>26</v>
      </c>
      <c r="M46" s="4" t="s">
        <v>49</v>
      </c>
      <c r="N46" s="4" t="s">
        <v>49</v>
      </c>
      <c r="P46" s="6">
        <f t="shared" si="1"/>
        <v>92.5</v>
      </c>
      <c r="Q46" s="5">
        <f t="shared" si="2"/>
        <v>10</v>
      </c>
      <c r="R46" s="6"/>
      <c r="S46" s="13"/>
      <c r="T46" s="13"/>
      <c r="U46" s="13"/>
    </row>
    <row r="47" spans="1:30">
      <c r="A47" s="26" t="s">
        <v>270</v>
      </c>
      <c r="B47" s="26" t="s">
        <v>176</v>
      </c>
      <c r="C47" s="48" t="s">
        <v>2351</v>
      </c>
      <c r="D47" s="28" t="s">
        <v>600</v>
      </c>
      <c r="E47" s="28" t="s">
        <v>331</v>
      </c>
      <c r="F47" s="28" t="s">
        <v>562</v>
      </c>
      <c r="G47" s="27">
        <v>25</v>
      </c>
      <c r="H47" s="27">
        <v>6</v>
      </c>
      <c r="I47" s="27">
        <v>2</v>
      </c>
      <c r="J47" s="28" t="s">
        <v>146</v>
      </c>
      <c r="K47" s="28" t="s">
        <v>19</v>
      </c>
      <c r="L47" s="28" t="s">
        <v>56</v>
      </c>
      <c r="M47" s="28" t="s">
        <v>49</v>
      </c>
      <c r="N47" s="28" t="s">
        <v>49</v>
      </c>
      <c r="O47" s="28" t="s">
        <v>2474</v>
      </c>
      <c r="P47" s="28">
        <f t="shared" si="1"/>
        <v>165</v>
      </c>
      <c r="Q47" s="29">
        <f t="shared" si="2"/>
        <v>45</v>
      </c>
      <c r="R47" s="13"/>
      <c r="S47" s="13"/>
      <c r="T47" s="13"/>
      <c r="U47" s="13"/>
    </row>
    <row r="48" spans="1:30">
      <c r="A48" s="1" t="s">
        <v>235</v>
      </c>
      <c r="B48" s="1" t="s">
        <v>235</v>
      </c>
      <c r="C48" s="1" t="s">
        <v>1227</v>
      </c>
      <c r="D48" s="4" t="s">
        <v>644</v>
      </c>
      <c r="E48" s="4" t="s">
        <v>212</v>
      </c>
      <c r="F48" s="4" t="s">
        <v>211</v>
      </c>
      <c r="G48" s="3">
        <v>3</v>
      </c>
      <c r="H48" s="3">
        <v>10</v>
      </c>
      <c r="I48" s="3">
        <v>1</v>
      </c>
      <c r="J48" s="4" t="s">
        <v>20</v>
      </c>
      <c r="K48" s="4" t="s">
        <v>49</v>
      </c>
      <c r="L48" s="4" t="s">
        <v>236</v>
      </c>
      <c r="M48" s="4" t="s">
        <v>49</v>
      </c>
      <c r="N48" s="4" t="s">
        <v>49</v>
      </c>
      <c r="P48" s="6">
        <f t="shared" si="1"/>
        <v>300</v>
      </c>
      <c r="Q48" s="5">
        <f t="shared" si="2"/>
        <v>0</v>
      </c>
      <c r="R48" s="6"/>
      <c r="S48" s="13"/>
      <c r="T48" s="13"/>
      <c r="U48" s="13"/>
      <c r="V48" s="13"/>
    </row>
    <row r="49" spans="1:29">
      <c r="A49" s="26" t="s">
        <v>235</v>
      </c>
      <c r="B49" s="26" t="s">
        <v>235</v>
      </c>
      <c r="C49" s="48" t="s">
        <v>2445</v>
      </c>
      <c r="D49" s="28" t="s">
        <v>1336</v>
      </c>
      <c r="E49" s="28" t="s">
        <v>210</v>
      </c>
      <c r="F49" s="28" t="s">
        <v>412</v>
      </c>
      <c r="G49" s="27">
        <v>4</v>
      </c>
      <c r="H49" s="27">
        <v>9</v>
      </c>
      <c r="I49" s="27">
        <v>2</v>
      </c>
      <c r="J49" s="28" t="s">
        <v>49</v>
      </c>
      <c r="K49" s="28" t="s">
        <v>49</v>
      </c>
      <c r="L49" s="28" t="s">
        <v>930</v>
      </c>
      <c r="M49" s="28" t="s">
        <v>49</v>
      </c>
      <c r="N49" s="28" t="s">
        <v>49</v>
      </c>
      <c r="O49" s="28" t="s">
        <v>2489</v>
      </c>
      <c r="P49" s="28">
        <f t="shared" si="1"/>
        <v>315</v>
      </c>
      <c r="Q49" s="29">
        <f t="shared" si="2"/>
        <v>0</v>
      </c>
      <c r="R49" s="6"/>
      <c r="S49" s="13"/>
      <c r="T49" s="13"/>
      <c r="U49" s="13"/>
      <c r="V49" s="13"/>
    </row>
    <row r="50" spans="1:29">
      <c r="A50" s="1" t="s">
        <v>54</v>
      </c>
      <c r="B50" s="1" t="s">
        <v>309</v>
      </c>
      <c r="C50" s="1" t="s">
        <v>1223</v>
      </c>
      <c r="D50" s="4" t="s">
        <v>694</v>
      </c>
      <c r="E50" s="4" t="s">
        <v>212</v>
      </c>
      <c r="F50" s="4" t="s">
        <v>211</v>
      </c>
      <c r="G50" s="3">
        <v>15</v>
      </c>
      <c r="H50" s="3">
        <v>8</v>
      </c>
      <c r="I50" s="3">
        <v>1</v>
      </c>
      <c r="J50" s="4" t="s">
        <v>31</v>
      </c>
      <c r="K50" s="4" t="s">
        <v>18</v>
      </c>
      <c r="L50" s="4" t="s">
        <v>49</v>
      </c>
      <c r="M50" s="4" t="s">
        <v>55</v>
      </c>
      <c r="N50" s="4" t="s">
        <v>49</v>
      </c>
      <c r="P50" s="6">
        <f t="shared" si="1"/>
        <v>144</v>
      </c>
      <c r="Q50" s="5">
        <f t="shared" si="2"/>
        <v>16</v>
      </c>
    </row>
    <row r="51" spans="1:29">
      <c r="A51" s="26" t="s">
        <v>1866</v>
      </c>
      <c r="B51" s="26" t="s">
        <v>1748</v>
      </c>
      <c r="C51" s="48" t="s">
        <v>2353</v>
      </c>
      <c r="D51" s="28" t="s">
        <v>1245</v>
      </c>
      <c r="E51" s="28" t="s">
        <v>212</v>
      </c>
      <c r="F51" s="28" t="s">
        <v>211</v>
      </c>
      <c r="G51" s="27">
        <v>20</v>
      </c>
      <c r="H51" s="27">
        <v>10</v>
      </c>
      <c r="I51" s="27" t="s">
        <v>1316</v>
      </c>
      <c r="J51" s="28" t="s">
        <v>46</v>
      </c>
      <c r="K51" s="28" t="s">
        <v>24</v>
      </c>
      <c r="L51" s="28" t="s">
        <v>49</v>
      </c>
      <c r="M51" s="28" t="s">
        <v>1850</v>
      </c>
      <c r="N51" s="28" t="s">
        <v>49</v>
      </c>
      <c r="O51" s="28"/>
      <c r="P51" s="28">
        <f t="shared" si="1"/>
        <v>180</v>
      </c>
      <c r="Q51" s="29">
        <f t="shared" si="2"/>
        <v>60</v>
      </c>
    </row>
    <row r="52" spans="1:29">
      <c r="A52" s="1" t="s">
        <v>230</v>
      </c>
      <c r="B52" s="1" t="s">
        <v>1309</v>
      </c>
      <c r="C52" s="1" t="s">
        <v>1221</v>
      </c>
      <c r="D52" s="4" t="s">
        <v>681</v>
      </c>
      <c r="E52" s="4" t="s">
        <v>246</v>
      </c>
      <c r="F52" s="4" t="s">
        <v>246</v>
      </c>
      <c r="G52" s="3">
        <v>20</v>
      </c>
      <c r="H52" s="3">
        <v>8</v>
      </c>
      <c r="I52" s="3">
        <v>1</v>
      </c>
      <c r="J52" s="4" t="s">
        <v>163</v>
      </c>
      <c r="K52" s="4" t="s">
        <v>46</v>
      </c>
      <c r="L52" s="4" t="s">
        <v>49</v>
      </c>
      <c r="M52" s="4" t="s">
        <v>49</v>
      </c>
      <c r="N52" s="4" t="s">
        <v>49</v>
      </c>
      <c r="P52" s="6">
        <f t="shared" si="1"/>
        <v>140</v>
      </c>
      <c r="Q52" s="5">
        <f t="shared" si="2"/>
        <v>80</v>
      </c>
    </row>
    <row r="53" spans="1:29">
      <c r="A53" s="26" t="s">
        <v>1750</v>
      </c>
      <c r="B53" s="48" t="s">
        <v>1751</v>
      </c>
      <c r="C53" s="48" t="s">
        <v>2352</v>
      </c>
      <c r="D53" s="28" t="s">
        <v>1317</v>
      </c>
      <c r="E53" s="28" t="s">
        <v>246</v>
      </c>
      <c r="F53" s="28" t="s">
        <v>246</v>
      </c>
      <c r="G53" s="27">
        <v>20</v>
      </c>
      <c r="H53" s="27">
        <v>8</v>
      </c>
      <c r="I53" s="27" t="s">
        <v>1316</v>
      </c>
      <c r="J53" s="28" t="s">
        <v>1335</v>
      </c>
      <c r="K53" s="28" t="s">
        <v>148</v>
      </c>
      <c r="L53" s="28" t="s">
        <v>49</v>
      </c>
      <c r="M53" s="28" t="s">
        <v>49</v>
      </c>
      <c r="N53" s="28" t="s">
        <v>49</v>
      </c>
      <c r="O53" s="28" t="s">
        <v>1334</v>
      </c>
      <c r="P53" s="28">
        <f t="shared" si="1"/>
        <v>160</v>
      </c>
      <c r="Q53" s="29">
        <f t="shared" si="2"/>
        <v>80</v>
      </c>
    </row>
    <row r="54" spans="1:29">
      <c r="A54" s="1" t="s">
        <v>152</v>
      </c>
      <c r="B54" s="1" t="s">
        <v>309</v>
      </c>
      <c r="C54" s="1" t="s">
        <v>1221</v>
      </c>
      <c r="D54" s="4" t="s">
        <v>689</v>
      </c>
      <c r="E54" s="4" t="s">
        <v>246</v>
      </c>
      <c r="F54" s="4" t="s">
        <v>246</v>
      </c>
      <c r="G54" s="3">
        <v>12</v>
      </c>
      <c r="H54" s="3">
        <v>8</v>
      </c>
      <c r="I54" s="3">
        <v>1</v>
      </c>
      <c r="J54" s="4" t="s">
        <v>44</v>
      </c>
      <c r="K54" s="4" t="s">
        <v>68</v>
      </c>
      <c r="L54" s="4" t="s">
        <v>49</v>
      </c>
      <c r="M54" s="4" t="s">
        <v>49</v>
      </c>
      <c r="N54" s="4" t="s">
        <v>49</v>
      </c>
      <c r="P54" s="6">
        <f t="shared" si="1"/>
        <v>160</v>
      </c>
      <c r="Q54" s="5">
        <f t="shared" si="2"/>
        <v>44</v>
      </c>
      <c r="R54" s="13"/>
      <c r="S54" s="13"/>
      <c r="T54" s="13"/>
      <c r="U54" s="13"/>
      <c r="V54" s="13"/>
    </row>
    <row r="55" spans="1:29">
      <c r="A55" s="26" t="s">
        <v>152</v>
      </c>
      <c r="B55" s="48" t="s">
        <v>313</v>
      </c>
      <c r="C55" s="48" t="s">
        <v>1319</v>
      </c>
      <c r="D55" s="28" t="s">
        <v>607</v>
      </c>
      <c r="E55" s="28" t="s">
        <v>246</v>
      </c>
      <c r="F55" s="28" t="s">
        <v>246</v>
      </c>
      <c r="G55" s="27">
        <v>10</v>
      </c>
      <c r="H55" s="27">
        <v>7</v>
      </c>
      <c r="I55" s="27">
        <v>3</v>
      </c>
      <c r="J55" s="28" t="s">
        <v>107</v>
      </c>
      <c r="K55" s="28" t="s">
        <v>56</v>
      </c>
      <c r="L55" s="28" t="s">
        <v>49</v>
      </c>
      <c r="M55" s="28" t="s">
        <v>49</v>
      </c>
      <c r="N55" s="28" t="s">
        <v>49</v>
      </c>
      <c r="O55" s="28" t="s">
        <v>2474</v>
      </c>
      <c r="P55" s="28">
        <f t="shared" si="1"/>
        <v>192.5</v>
      </c>
      <c r="Q55" s="29">
        <f t="shared" si="2"/>
        <v>87.5</v>
      </c>
      <c r="R55" s="13"/>
      <c r="S55" s="13"/>
      <c r="T55" s="13"/>
      <c r="U55" s="13"/>
      <c r="V55" s="13"/>
    </row>
    <row r="56" spans="1:29">
      <c r="A56" s="1" t="s">
        <v>43</v>
      </c>
      <c r="B56" s="1" t="s">
        <v>1309</v>
      </c>
      <c r="C56" s="1" t="s">
        <v>1222</v>
      </c>
      <c r="D56" s="4" t="s">
        <v>683</v>
      </c>
      <c r="E56" s="4" t="s">
        <v>246</v>
      </c>
      <c r="F56" s="4" t="s">
        <v>212</v>
      </c>
      <c r="G56" s="3">
        <v>10</v>
      </c>
      <c r="H56" s="3">
        <v>7</v>
      </c>
      <c r="I56" s="3">
        <v>1</v>
      </c>
      <c r="J56" s="4" t="s">
        <v>44</v>
      </c>
      <c r="K56" s="4" t="s">
        <v>31</v>
      </c>
      <c r="L56" s="4" t="s">
        <v>49</v>
      </c>
      <c r="M56" s="4" t="s">
        <v>49</v>
      </c>
      <c r="N56" s="4" t="s">
        <v>49</v>
      </c>
      <c r="O56" s="4" t="s">
        <v>2465</v>
      </c>
      <c r="P56" s="6">
        <f t="shared" si="1"/>
        <v>140</v>
      </c>
      <c r="Q56" s="5">
        <f t="shared" si="2"/>
        <v>56</v>
      </c>
    </row>
    <row r="57" spans="1:29">
      <c r="A57" s="26" t="s">
        <v>1745</v>
      </c>
      <c r="B57" s="26" t="s">
        <v>1322</v>
      </c>
      <c r="C57" s="48" t="s">
        <v>1318</v>
      </c>
      <c r="D57" s="28" t="s">
        <v>1247</v>
      </c>
      <c r="E57" s="28" t="s">
        <v>291</v>
      </c>
      <c r="F57" s="28" t="s">
        <v>291</v>
      </c>
      <c r="G57" s="27">
        <v>12</v>
      </c>
      <c r="H57" s="27">
        <v>7</v>
      </c>
      <c r="I57" s="27">
        <v>6</v>
      </c>
      <c r="J57" s="28" t="s">
        <v>150</v>
      </c>
      <c r="K57" s="28" t="s">
        <v>682</v>
      </c>
      <c r="L57" s="28" t="s">
        <v>49</v>
      </c>
      <c r="M57" s="28" t="s">
        <v>49</v>
      </c>
      <c r="N57" s="28" t="s">
        <v>49</v>
      </c>
      <c r="O57" s="28" t="s">
        <v>2482</v>
      </c>
      <c r="P57" s="28">
        <f t="shared" si="1"/>
        <v>252</v>
      </c>
      <c r="Q57" s="29">
        <f t="shared" si="2"/>
        <v>147</v>
      </c>
    </row>
    <row r="58" spans="1:29">
      <c r="A58" s="1" t="s">
        <v>239</v>
      </c>
      <c r="B58" s="1" t="s">
        <v>309</v>
      </c>
      <c r="C58" s="1" t="s">
        <v>1227</v>
      </c>
      <c r="D58" s="4" t="s">
        <v>644</v>
      </c>
      <c r="E58" s="4" t="s">
        <v>211</v>
      </c>
      <c r="F58" s="4" t="s">
        <v>211</v>
      </c>
      <c r="G58" s="3">
        <v>25</v>
      </c>
      <c r="H58" s="3">
        <v>4</v>
      </c>
      <c r="I58" s="3">
        <v>1</v>
      </c>
      <c r="J58" s="4" t="s">
        <v>225</v>
      </c>
      <c r="K58" s="4" t="s">
        <v>60</v>
      </c>
      <c r="L58" s="4" t="s">
        <v>49</v>
      </c>
      <c r="M58" s="4" t="s">
        <v>49</v>
      </c>
      <c r="N58" s="4" t="s">
        <v>49</v>
      </c>
      <c r="P58" s="6">
        <f t="shared" si="1"/>
        <v>160</v>
      </c>
      <c r="Q58" s="5">
        <f t="shared" si="2"/>
        <v>34</v>
      </c>
    </row>
    <row r="59" spans="1:29">
      <c r="A59" s="26" t="s">
        <v>239</v>
      </c>
      <c r="B59" s="48" t="s">
        <v>1326</v>
      </c>
      <c r="C59" s="48" t="s">
        <v>1246</v>
      </c>
      <c r="D59" s="28" t="s">
        <v>815</v>
      </c>
      <c r="E59" s="28" t="s">
        <v>412</v>
      </c>
      <c r="F59" s="28" t="s">
        <v>210</v>
      </c>
      <c r="G59" s="27">
        <v>20</v>
      </c>
      <c r="H59" s="27">
        <v>6</v>
      </c>
      <c r="I59" s="27">
        <v>3</v>
      </c>
      <c r="J59" s="28" t="s">
        <v>15</v>
      </c>
      <c r="K59" s="28" t="s">
        <v>889</v>
      </c>
      <c r="L59" s="28" t="s">
        <v>49</v>
      </c>
      <c r="M59" s="28" t="s">
        <v>49</v>
      </c>
      <c r="N59" s="28" t="s">
        <v>49</v>
      </c>
      <c r="O59" s="28"/>
      <c r="P59" s="28">
        <f t="shared" si="1"/>
        <v>240</v>
      </c>
      <c r="Q59" s="29">
        <f t="shared" si="2"/>
        <v>120</v>
      </c>
    </row>
    <row r="60" spans="1:29">
      <c r="A60" s="1" t="s">
        <v>227</v>
      </c>
      <c r="B60" s="1" t="s">
        <v>309</v>
      </c>
      <c r="C60" s="1" t="s">
        <v>1228</v>
      </c>
      <c r="D60" s="4" t="s">
        <v>690</v>
      </c>
      <c r="E60" s="4" t="s">
        <v>211</v>
      </c>
      <c r="F60" s="4" t="s">
        <v>209</v>
      </c>
      <c r="G60" s="3">
        <v>15</v>
      </c>
      <c r="H60" s="3">
        <v>2</v>
      </c>
      <c r="I60" s="3">
        <v>1</v>
      </c>
      <c r="J60" s="4" t="s">
        <v>226</v>
      </c>
      <c r="K60" s="4" t="s">
        <v>46</v>
      </c>
      <c r="L60" s="4" t="s">
        <v>49</v>
      </c>
      <c r="M60" s="4" t="s">
        <v>49</v>
      </c>
      <c r="N60" s="4" t="s">
        <v>49</v>
      </c>
      <c r="P60" s="6">
        <f t="shared" si="1"/>
        <v>90</v>
      </c>
      <c r="Q60" s="5">
        <f t="shared" si="2"/>
        <v>20</v>
      </c>
    </row>
    <row r="61" spans="1:29">
      <c r="A61" s="26" t="s">
        <v>227</v>
      </c>
      <c r="B61" s="48" t="s">
        <v>227</v>
      </c>
      <c r="C61" s="48" t="s">
        <v>2350</v>
      </c>
      <c r="D61" s="28" t="s">
        <v>1315</v>
      </c>
      <c r="E61" s="28" t="s">
        <v>568</v>
      </c>
      <c r="F61" s="28" t="s">
        <v>1305</v>
      </c>
      <c r="G61" s="27">
        <v>20</v>
      </c>
      <c r="H61" s="27">
        <v>5</v>
      </c>
      <c r="I61" s="27">
        <v>4</v>
      </c>
      <c r="J61" s="28" t="s">
        <v>719</v>
      </c>
      <c r="K61" s="28" t="s">
        <v>16</v>
      </c>
      <c r="L61" s="28" t="s">
        <v>49</v>
      </c>
      <c r="M61" s="28" t="s">
        <v>49</v>
      </c>
      <c r="N61" s="28" t="s">
        <v>49</v>
      </c>
      <c r="O61" s="49" t="s">
        <v>920</v>
      </c>
      <c r="P61" s="28">
        <f t="shared" si="1"/>
        <v>250</v>
      </c>
      <c r="Q61" s="29">
        <f t="shared" si="2"/>
        <v>125</v>
      </c>
      <c r="R61" s="6"/>
      <c r="S61" s="13"/>
      <c r="T61" s="13"/>
      <c r="U61" s="13"/>
      <c r="V61" s="13"/>
      <c r="W61" s="13"/>
    </row>
    <row r="62" spans="1:29">
      <c r="A62" s="1" t="s">
        <v>11</v>
      </c>
      <c r="B62" s="1" t="s">
        <v>309</v>
      </c>
      <c r="C62" s="1" t="s">
        <v>1231</v>
      </c>
      <c r="D62" s="4" t="s">
        <v>338</v>
      </c>
      <c r="E62" s="4" t="s">
        <v>212</v>
      </c>
      <c r="F62" s="4" t="s">
        <v>211</v>
      </c>
      <c r="G62" s="3">
        <v>15</v>
      </c>
      <c r="H62" s="3">
        <v>2</v>
      </c>
      <c r="I62" s="3">
        <v>1</v>
      </c>
      <c r="J62" s="4" t="s">
        <v>22</v>
      </c>
      <c r="K62" s="4" t="s">
        <v>23</v>
      </c>
      <c r="L62" s="4" t="s">
        <v>49</v>
      </c>
      <c r="M62" s="4" t="s">
        <v>49</v>
      </c>
      <c r="N62" s="4" t="s">
        <v>49</v>
      </c>
      <c r="P62" s="6">
        <f t="shared" si="1"/>
        <v>40</v>
      </c>
      <c r="Q62" s="5">
        <f>$H62 * ((LEFT($K62, FIND("-",$K62)-1) + RIGHT($K62, LEN($K62) - FIND("-",$K62))) / 2)</f>
        <v>25</v>
      </c>
      <c r="R62" s="13"/>
      <c r="S62" s="13"/>
      <c r="T62" s="13"/>
      <c r="U62" s="13"/>
      <c r="V62" s="13"/>
    </row>
    <row r="63" spans="1:29">
      <c r="A63" s="26" t="s">
        <v>141</v>
      </c>
      <c r="B63" s="26" t="s">
        <v>1327</v>
      </c>
      <c r="C63" s="48" t="s">
        <v>1311</v>
      </c>
      <c r="D63" s="28" t="s">
        <v>1337</v>
      </c>
      <c r="E63" s="28" t="s">
        <v>413</v>
      </c>
      <c r="F63" s="28" t="s">
        <v>568</v>
      </c>
      <c r="G63" s="27">
        <v>15</v>
      </c>
      <c r="H63" s="27">
        <v>3</v>
      </c>
      <c r="I63" s="27">
        <v>7</v>
      </c>
      <c r="J63" s="28" t="s">
        <v>1681</v>
      </c>
      <c r="K63" s="28" t="s">
        <v>147</v>
      </c>
      <c r="L63" s="28" t="s">
        <v>49</v>
      </c>
      <c r="M63" s="28" t="s">
        <v>49</v>
      </c>
      <c r="N63" s="28" t="s">
        <v>49</v>
      </c>
      <c r="O63" s="28" t="s">
        <v>1291</v>
      </c>
      <c r="P63" s="28">
        <f t="shared" si="1"/>
        <v>187.5</v>
      </c>
      <c r="Q63" s="29">
        <f>$H63 * ((LEFT($K63, FIND("-",$K63)-1) + RIGHT($K63, LEN($K63) - FIND("-",$K63))) / 2)</f>
        <v>90</v>
      </c>
      <c r="R63" s="6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>
      <c r="A64" s="1" t="s">
        <v>45</v>
      </c>
      <c r="B64" s="1" t="s">
        <v>309</v>
      </c>
      <c r="C64" s="1" t="s">
        <v>1227</v>
      </c>
      <c r="D64" s="4" t="s">
        <v>688</v>
      </c>
      <c r="E64" s="4" t="s">
        <v>212</v>
      </c>
      <c r="F64" s="4" t="s">
        <v>211</v>
      </c>
      <c r="G64" s="3">
        <v>15</v>
      </c>
      <c r="H64" s="3">
        <v>20</v>
      </c>
      <c r="I64" s="3">
        <v>1</v>
      </c>
      <c r="J64" s="4" t="s">
        <v>22</v>
      </c>
      <c r="K64" s="4" t="s">
        <v>46</v>
      </c>
      <c r="L64" s="4" t="s">
        <v>49</v>
      </c>
      <c r="M64" s="4" t="s">
        <v>49</v>
      </c>
      <c r="N64" s="4" t="s">
        <v>49</v>
      </c>
      <c r="P64" s="6">
        <f t="shared" si="1"/>
        <v>400</v>
      </c>
      <c r="Q64" s="5">
        <f t="shared" si="2"/>
        <v>200</v>
      </c>
    </row>
    <row r="65" spans="1:25">
      <c r="A65" s="26" t="s">
        <v>45</v>
      </c>
      <c r="B65" s="26" t="s">
        <v>309</v>
      </c>
      <c r="C65" s="48" t="s">
        <v>1287</v>
      </c>
      <c r="D65" s="28" t="s">
        <v>688</v>
      </c>
      <c r="E65" s="28" t="s">
        <v>211</v>
      </c>
      <c r="F65" s="28" t="s">
        <v>209</v>
      </c>
      <c r="G65" s="27">
        <v>20</v>
      </c>
      <c r="H65" s="27">
        <v>20</v>
      </c>
      <c r="I65" s="27">
        <v>2</v>
      </c>
      <c r="J65" s="28" t="s">
        <v>22</v>
      </c>
      <c r="K65" s="28" t="s">
        <v>46</v>
      </c>
      <c r="L65" s="28" t="s">
        <v>49</v>
      </c>
      <c r="M65" s="28" t="s">
        <v>49</v>
      </c>
      <c r="N65" s="28" t="s">
        <v>49</v>
      </c>
      <c r="O65" s="28"/>
      <c r="P65" s="28">
        <f t="shared" si="1"/>
        <v>400</v>
      </c>
      <c r="Q65" s="29">
        <f t="shared" si="2"/>
        <v>200</v>
      </c>
    </row>
    <row r="66" spans="1:25">
      <c r="A66" s="1" t="s">
        <v>1216</v>
      </c>
      <c r="B66" s="1" t="s">
        <v>309</v>
      </c>
      <c r="C66" s="1" t="s">
        <v>1228</v>
      </c>
      <c r="D66" s="4" t="s">
        <v>378</v>
      </c>
      <c r="E66" s="4" t="s">
        <v>211</v>
      </c>
      <c r="F66" s="4" t="s">
        <v>412</v>
      </c>
      <c r="G66" s="3">
        <v>15</v>
      </c>
      <c r="H66" s="3">
        <v>20</v>
      </c>
      <c r="I66" s="3">
        <v>1</v>
      </c>
      <c r="J66" s="4" t="s">
        <v>21</v>
      </c>
      <c r="K66" s="4" t="s">
        <v>23</v>
      </c>
      <c r="L66" s="4" t="s">
        <v>49</v>
      </c>
      <c r="M66" s="4" t="s">
        <v>49</v>
      </c>
      <c r="N66" s="4" t="s">
        <v>49</v>
      </c>
      <c r="P66" s="6">
        <f t="shared" ref="P66:P81" si="3">$H66 * (LEFT($J66, FIND("-",$J66)-1) + RIGHT($J66, LEN($J66) - FIND("-",$J66))  +  LEFT($L66, FIND("-",$L66)-1) + RIGHT($L66, LEN($L66) - FIND("-",$L66))  +  LEFT($M66, FIND("-",$M66)-1) + RIGHT($M66, LEN($M66) - FIND("-",$M66))  +  LEFT($N66, FIND("-",$N66)-1) + RIGHT($N66, LEN($N66) - FIND("-",$N66))) / 2</f>
        <v>500</v>
      </c>
      <c r="Q66" s="5">
        <f t="shared" si="2"/>
        <v>250</v>
      </c>
    </row>
    <row r="67" spans="1:25">
      <c r="A67" s="26" t="s">
        <v>1216</v>
      </c>
      <c r="B67" s="26" t="s">
        <v>1307</v>
      </c>
      <c r="C67" s="48" t="s">
        <v>1311</v>
      </c>
      <c r="D67" s="28" t="s">
        <v>378</v>
      </c>
      <c r="E67" s="28" t="s">
        <v>702</v>
      </c>
      <c r="F67" s="28" t="s">
        <v>702</v>
      </c>
      <c r="G67" s="27">
        <v>20</v>
      </c>
      <c r="H67" s="27">
        <v>13</v>
      </c>
      <c r="I67" s="27">
        <v>3</v>
      </c>
      <c r="J67" s="28" t="s">
        <v>51</v>
      </c>
      <c r="K67" s="28" t="s">
        <v>146</v>
      </c>
      <c r="L67" s="28" t="s">
        <v>49</v>
      </c>
      <c r="M67" s="28" t="s">
        <v>49</v>
      </c>
      <c r="N67" s="28" t="s">
        <v>49</v>
      </c>
      <c r="O67" s="28" t="s">
        <v>1290</v>
      </c>
      <c r="P67" s="28">
        <f t="shared" si="3"/>
        <v>390</v>
      </c>
      <c r="Q67" s="29">
        <f t="shared" si="2"/>
        <v>195</v>
      </c>
      <c r="R67" s="13"/>
      <c r="S67" s="13"/>
      <c r="T67" s="13"/>
      <c r="U67" s="13"/>
      <c r="V67" s="13"/>
      <c r="W67" s="13"/>
      <c r="X67" s="13"/>
    </row>
    <row r="68" spans="1:25">
      <c r="A68" s="1" t="s">
        <v>1215</v>
      </c>
      <c r="B68" s="1" t="s">
        <v>309</v>
      </c>
      <c r="C68" s="1" t="s">
        <v>1227</v>
      </c>
      <c r="D68" s="4" t="s">
        <v>611</v>
      </c>
      <c r="E68" s="4" t="s">
        <v>212</v>
      </c>
      <c r="F68" s="4" t="s">
        <v>210</v>
      </c>
      <c r="G68" s="3">
        <v>15</v>
      </c>
      <c r="H68" s="3">
        <v>1</v>
      </c>
      <c r="I68" s="3">
        <v>1</v>
      </c>
      <c r="J68" s="4" t="s">
        <v>20</v>
      </c>
      <c r="K68" s="4" t="s">
        <v>49</v>
      </c>
      <c r="L68" s="4" t="s">
        <v>335</v>
      </c>
      <c r="M68" s="4" t="s">
        <v>49</v>
      </c>
      <c r="N68" s="4" t="s">
        <v>49</v>
      </c>
      <c r="O68" s="4" t="s">
        <v>2487</v>
      </c>
      <c r="P68" s="6">
        <f t="shared" si="3"/>
        <v>13.5</v>
      </c>
      <c r="Q68" s="5">
        <f>$H68 * ((LEFT($K68, FIND("-",$K68)-1) + RIGHT($K68, LEN($K68) - FIND("-",$K68))) / 2)</f>
        <v>0</v>
      </c>
    </row>
    <row r="69" spans="1:25">
      <c r="A69" s="26" t="s">
        <v>1215</v>
      </c>
      <c r="B69" s="48" t="s">
        <v>1754</v>
      </c>
      <c r="C69" s="48" t="s">
        <v>2446</v>
      </c>
      <c r="D69" s="28" t="s">
        <v>611</v>
      </c>
      <c r="E69" s="28" t="s">
        <v>210</v>
      </c>
      <c r="F69" s="28" t="s">
        <v>210</v>
      </c>
      <c r="G69" s="27">
        <v>20</v>
      </c>
      <c r="H69" s="27">
        <v>3</v>
      </c>
      <c r="I69" s="27">
        <v>4</v>
      </c>
      <c r="J69" s="28" t="s">
        <v>226</v>
      </c>
      <c r="K69" s="28" t="s">
        <v>298</v>
      </c>
      <c r="L69" s="28" t="s">
        <v>146</v>
      </c>
      <c r="M69" s="28" t="s">
        <v>49</v>
      </c>
      <c r="N69" s="28" t="s">
        <v>49</v>
      </c>
      <c r="O69" s="28" t="s">
        <v>2488</v>
      </c>
      <c r="P69" s="28">
        <f t="shared" si="3"/>
        <v>180</v>
      </c>
      <c r="Q69" s="29">
        <f>$H69 * ((LEFT($K69, FIND("-",$K69)-1) + RIGHT($K69, LEN($K69) - FIND("-",$K69))) / 2)</f>
        <v>67.5</v>
      </c>
      <c r="R69" s="13"/>
      <c r="S69" s="13"/>
      <c r="T69" s="13"/>
      <c r="U69" s="13"/>
      <c r="V69" s="13"/>
    </row>
    <row r="70" spans="1:25">
      <c r="A70" s="1" t="s">
        <v>214</v>
      </c>
      <c r="B70" s="1" t="s">
        <v>309</v>
      </c>
      <c r="C70" s="1" t="s">
        <v>1222</v>
      </c>
      <c r="D70" s="4" t="s">
        <v>693</v>
      </c>
      <c r="E70" s="4" t="s">
        <v>212</v>
      </c>
      <c r="F70" s="4" t="s">
        <v>211</v>
      </c>
      <c r="G70" s="3">
        <v>15</v>
      </c>
      <c r="H70" s="3">
        <v>1</v>
      </c>
      <c r="I70" s="3">
        <v>1</v>
      </c>
      <c r="J70" s="4" t="s">
        <v>31</v>
      </c>
      <c r="K70" s="4" t="s">
        <v>215</v>
      </c>
      <c r="L70" s="4" t="s">
        <v>49</v>
      </c>
      <c r="M70" s="4" t="s">
        <v>49</v>
      </c>
      <c r="N70" s="4" t="s">
        <v>49</v>
      </c>
      <c r="O70" s="4" t="s">
        <v>1682</v>
      </c>
      <c r="P70" s="6">
        <f t="shared" si="3"/>
        <v>8</v>
      </c>
      <c r="Q70" s="25">
        <v>1</v>
      </c>
      <c r="R70" s="13"/>
      <c r="S70" s="13"/>
      <c r="T70" s="13"/>
      <c r="U70" s="13"/>
      <c r="V70" s="13"/>
    </row>
    <row r="71" spans="1:25">
      <c r="A71" s="26" t="s">
        <v>214</v>
      </c>
      <c r="B71" s="26" t="s">
        <v>1308</v>
      </c>
      <c r="C71" s="48" t="s">
        <v>1303</v>
      </c>
      <c r="D71" s="28" t="s">
        <v>709</v>
      </c>
      <c r="E71" s="28" t="s">
        <v>212</v>
      </c>
      <c r="F71" s="28" t="s">
        <v>212</v>
      </c>
      <c r="G71" s="27">
        <v>15</v>
      </c>
      <c r="H71" s="27">
        <v>3</v>
      </c>
      <c r="I71" s="27">
        <v>1</v>
      </c>
      <c r="J71" s="28" t="s">
        <v>216</v>
      </c>
      <c r="K71" s="28" t="s">
        <v>215</v>
      </c>
      <c r="L71" s="28" t="s">
        <v>49</v>
      </c>
      <c r="M71" s="28" t="s">
        <v>49</v>
      </c>
      <c r="N71" s="28" t="s">
        <v>49</v>
      </c>
      <c r="O71" s="28" t="s">
        <v>1404</v>
      </c>
      <c r="P71" s="28">
        <f t="shared" si="3"/>
        <v>3</v>
      </c>
      <c r="Q71" s="31">
        <v>1</v>
      </c>
      <c r="R71" s="13"/>
      <c r="S71" s="13"/>
      <c r="T71" s="13"/>
      <c r="U71" s="13"/>
      <c r="V71" s="13"/>
    </row>
    <row r="72" spans="1:25">
      <c r="A72" s="10" t="s">
        <v>10</v>
      </c>
      <c r="B72" s="1" t="s">
        <v>913</v>
      </c>
      <c r="C72" s="1" t="s">
        <v>1222</v>
      </c>
      <c r="D72" s="4" t="s">
        <v>285</v>
      </c>
      <c r="E72" s="4" t="s">
        <v>246</v>
      </c>
      <c r="F72" s="4" t="s">
        <v>212</v>
      </c>
      <c r="G72" s="3">
        <v>15</v>
      </c>
      <c r="H72" s="3">
        <v>10</v>
      </c>
      <c r="I72" s="3">
        <v>1</v>
      </c>
      <c r="J72" s="4" t="s">
        <v>20</v>
      </c>
      <c r="K72" s="4" t="s">
        <v>18</v>
      </c>
      <c r="L72" s="4" t="s">
        <v>49</v>
      </c>
      <c r="M72" s="4" t="s">
        <v>21</v>
      </c>
      <c r="N72" s="4" t="s">
        <v>49</v>
      </c>
      <c r="P72" s="6">
        <f t="shared" si="3"/>
        <v>275</v>
      </c>
      <c r="Q72" s="5">
        <f>$H72 * ((LEFT($K72, FIND("-",$K72)-1) + RIGHT($K72, LEN($K72) - FIND("-",$K72))) / 2)</f>
        <v>20</v>
      </c>
      <c r="R72" s="13"/>
      <c r="S72" s="13"/>
      <c r="T72" s="13"/>
      <c r="U72" s="13"/>
      <c r="V72" s="13"/>
    </row>
    <row r="73" spans="1:25">
      <c r="A73" s="26" t="s">
        <v>10</v>
      </c>
      <c r="B73" s="48" t="s">
        <v>1310</v>
      </c>
      <c r="C73" s="48" t="s">
        <v>1239</v>
      </c>
      <c r="D73" s="28" t="s">
        <v>816</v>
      </c>
      <c r="E73" s="28" t="s">
        <v>246</v>
      </c>
      <c r="F73" s="28" t="s">
        <v>212</v>
      </c>
      <c r="G73" s="27">
        <v>15</v>
      </c>
      <c r="H73" s="27">
        <v>6</v>
      </c>
      <c r="I73" s="27">
        <v>3</v>
      </c>
      <c r="J73" s="28" t="s">
        <v>49</v>
      </c>
      <c r="K73" s="28" t="s">
        <v>49</v>
      </c>
      <c r="L73" s="28" t="s">
        <v>49</v>
      </c>
      <c r="M73" s="28" t="s">
        <v>1867</v>
      </c>
      <c r="N73" s="28" t="s">
        <v>49</v>
      </c>
      <c r="O73" s="28"/>
      <c r="P73" s="28">
        <f t="shared" si="3"/>
        <v>270</v>
      </c>
      <c r="Q73" s="29">
        <f>$H73 * ((LEFT($K73, FIND("-",$K73)-1) + RIGHT($K73, LEN($K73) - FIND("-",$K73))) / 2)</f>
        <v>0</v>
      </c>
    </row>
    <row r="74" spans="1:25">
      <c r="A74" s="1" t="s">
        <v>47</v>
      </c>
      <c r="B74" s="1" t="s">
        <v>309</v>
      </c>
      <c r="C74" s="1" t="s">
        <v>1222</v>
      </c>
      <c r="D74" s="4" t="s">
        <v>692</v>
      </c>
      <c r="E74" s="4" t="s">
        <v>212</v>
      </c>
      <c r="F74" s="4" t="s">
        <v>211</v>
      </c>
      <c r="G74" s="3">
        <v>15</v>
      </c>
      <c r="H74" s="3">
        <v>2</v>
      </c>
      <c r="I74" s="3">
        <v>1</v>
      </c>
      <c r="J74" s="4" t="s">
        <v>20</v>
      </c>
      <c r="K74" s="4" t="s">
        <v>49</v>
      </c>
      <c r="L74" s="4" t="s">
        <v>49</v>
      </c>
      <c r="M74" s="4" t="s">
        <v>48</v>
      </c>
      <c r="N74" s="4" t="s">
        <v>49</v>
      </c>
      <c r="P74" s="6">
        <f t="shared" si="3"/>
        <v>95</v>
      </c>
      <c r="Q74" s="5">
        <f>$H74 * ((LEFT($K74, FIND("-",$K74)-1) + RIGHT($K74, LEN($K74) - FIND("-",$K74))) / 2)</f>
        <v>0</v>
      </c>
      <c r="R74" s="13"/>
      <c r="S74" s="13"/>
      <c r="T74" s="13"/>
      <c r="U74" s="13"/>
      <c r="V74" s="13"/>
    </row>
    <row r="75" spans="1:25">
      <c r="A75" s="26" t="s">
        <v>47</v>
      </c>
      <c r="B75" s="48" t="s">
        <v>1310</v>
      </c>
      <c r="C75" s="48" t="s">
        <v>1238</v>
      </c>
      <c r="D75" s="28" t="s">
        <v>817</v>
      </c>
      <c r="E75" s="28" t="s">
        <v>657</v>
      </c>
      <c r="F75" s="28" t="s">
        <v>292</v>
      </c>
      <c r="G75" s="27">
        <v>25</v>
      </c>
      <c r="H75" s="27">
        <v>5</v>
      </c>
      <c r="I75" s="27">
        <v>4</v>
      </c>
      <c r="J75" s="28" t="s">
        <v>49</v>
      </c>
      <c r="K75" s="28" t="s">
        <v>49</v>
      </c>
      <c r="L75" s="28" t="s">
        <v>49</v>
      </c>
      <c r="M75" s="28" t="s">
        <v>1851</v>
      </c>
      <c r="N75" s="28" t="s">
        <v>49</v>
      </c>
      <c r="O75" s="28" t="s">
        <v>2474</v>
      </c>
      <c r="P75" s="28">
        <f t="shared" si="3"/>
        <v>300</v>
      </c>
      <c r="Q75" s="29">
        <f>$H75 * ((LEFT($K75, FIND("-",$K75)-1) + RIGHT($K75, LEN($K75) - FIND("-",$K75))) / 2)</f>
        <v>0</v>
      </c>
      <c r="R75" s="13"/>
      <c r="S75" s="13"/>
      <c r="T75" s="13"/>
      <c r="U75" s="13"/>
      <c r="V75" s="13"/>
    </row>
    <row r="76" spans="1:25">
      <c r="A76" s="1" t="s">
        <v>32</v>
      </c>
      <c r="B76" s="1" t="s">
        <v>309</v>
      </c>
      <c r="C76" s="1" t="s">
        <v>1221</v>
      </c>
      <c r="D76" s="4" t="s">
        <v>569</v>
      </c>
      <c r="E76" s="4" t="s">
        <v>212</v>
      </c>
      <c r="F76" s="4" t="s">
        <v>291</v>
      </c>
      <c r="G76" s="3">
        <v>10</v>
      </c>
      <c r="H76" s="3">
        <v>6</v>
      </c>
      <c r="I76" s="3">
        <v>1</v>
      </c>
      <c r="J76" s="4" t="s">
        <v>20</v>
      </c>
      <c r="K76" s="4" t="s">
        <v>29</v>
      </c>
      <c r="L76" s="4" t="s">
        <v>26</v>
      </c>
      <c r="M76" s="4" t="s">
        <v>33</v>
      </c>
      <c r="N76" s="4" t="s">
        <v>49</v>
      </c>
      <c r="P76" s="6">
        <f t="shared" si="3"/>
        <v>108</v>
      </c>
      <c r="Q76" s="5">
        <f t="shared" ref="Q76:Q81" si="4">$H76 * ((LEFT($K76, FIND("-",$K76)-1) + RIGHT($K76, LEN($K76) - FIND("-",$K76))) / 2)</f>
        <v>27</v>
      </c>
    </row>
    <row r="77" spans="1:25">
      <c r="A77" s="26" t="s">
        <v>32</v>
      </c>
      <c r="B77" s="26" t="s">
        <v>235</v>
      </c>
      <c r="C77" s="48" t="s">
        <v>1270</v>
      </c>
      <c r="D77" s="28" t="s">
        <v>699</v>
      </c>
      <c r="E77" s="28" t="s">
        <v>212</v>
      </c>
      <c r="F77" s="28" t="s">
        <v>246</v>
      </c>
      <c r="G77" s="27">
        <v>15</v>
      </c>
      <c r="H77" s="27">
        <v>6</v>
      </c>
      <c r="I77" s="27">
        <v>2</v>
      </c>
      <c r="J77" s="28" t="s">
        <v>49</v>
      </c>
      <c r="K77" s="28" t="s">
        <v>56</v>
      </c>
      <c r="L77" s="28" t="s">
        <v>56</v>
      </c>
      <c r="M77" s="28" t="s">
        <v>56</v>
      </c>
      <c r="N77" s="28" t="s">
        <v>56</v>
      </c>
      <c r="O77" s="28"/>
      <c r="P77" s="28">
        <f t="shared" si="3"/>
        <v>225</v>
      </c>
      <c r="Q77" s="29">
        <f t="shared" si="4"/>
        <v>75</v>
      </c>
      <c r="R77" s="6"/>
      <c r="S77" s="13"/>
      <c r="T77" s="13"/>
      <c r="U77" s="13"/>
    </row>
    <row r="78" spans="1:25">
      <c r="A78" s="1" t="s">
        <v>333</v>
      </c>
      <c r="B78" s="1" t="s">
        <v>309</v>
      </c>
      <c r="C78" s="1" t="s">
        <v>1222</v>
      </c>
      <c r="D78" s="4" t="s">
        <v>634</v>
      </c>
      <c r="E78" s="4" t="s">
        <v>212</v>
      </c>
      <c r="F78" s="4" t="s">
        <v>331</v>
      </c>
      <c r="G78" s="3">
        <v>15</v>
      </c>
      <c r="H78" s="3">
        <v>5</v>
      </c>
      <c r="I78" s="3">
        <v>1</v>
      </c>
      <c r="J78" s="4" t="s">
        <v>334</v>
      </c>
      <c r="K78" s="4" t="s">
        <v>109</v>
      </c>
      <c r="L78" s="4" t="s">
        <v>49</v>
      </c>
      <c r="M78" s="4" t="s">
        <v>49</v>
      </c>
      <c r="N78" s="4" t="s">
        <v>49</v>
      </c>
      <c r="P78" s="6">
        <f t="shared" si="3"/>
        <v>75</v>
      </c>
      <c r="Q78" s="12">
        <f t="shared" si="4"/>
        <v>20</v>
      </c>
    </row>
    <row r="79" spans="1:25">
      <c r="A79" s="26" t="s">
        <v>1323</v>
      </c>
      <c r="B79" s="26" t="s">
        <v>1323</v>
      </c>
      <c r="C79" s="48" t="s">
        <v>1235</v>
      </c>
      <c r="D79" s="28" t="s">
        <v>268</v>
      </c>
      <c r="E79" s="28" t="s">
        <v>1305</v>
      </c>
      <c r="F79" s="28" t="s">
        <v>657</v>
      </c>
      <c r="G79" s="27">
        <v>25</v>
      </c>
      <c r="H79" s="27">
        <v>7</v>
      </c>
      <c r="I79" s="27">
        <v>2</v>
      </c>
      <c r="J79" s="28" t="s">
        <v>1288</v>
      </c>
      <c r="K79" s="28" t="s">
        <v>22</v>
      </c>
      <c r="L79" s="28" t="s">
        <v>49</v>
      </c>
      <c r="M79" s="28" t="s">
        <v>49</v>
      </c>
      <c r="N79" s="28" t="s">
        <v>49</v>
      </c>
      <c r="O79" s="49" t="s">
        <v>1292</v>
      </c>
      <c r="P79" s="28">
        <f t="shared" si="3"/>
        <v>245</v>
      </c>
      <c r="Q79" s="29">
        <f t="shared" si="4"/>
        <v>140</v>
      </c>
      <c r="R79" s="13"/>
      <c r="S79" s="13"/>
      <c r="T79" s="13"/>
      <c r="U79" s="13"/>
      <c r="V79" s="13"/>
      <c r="W79" s="13"/>
      <c r="X79" s="13"/>
      <c r="Y79" s="13"/>
    </row>
    <row r="80" spans="1:25">
      <c r="A80" s="1" t="s">
        <v>258</v>
      </c>
      <c r="B80" s="1" t="s">
        <v>1309</v>
      </c>
      <c r="C80" s="1" t="s">
        <v>1221</v>
      </c>
      <c r="D80" s="4" t="s">
        <v>691</v>
      </c>
      <c r="E80" s="4" t="s">
        <v>246</v>
      </c>
      <c r="F80" s="4" t="s">
        <v>246</v>
      </c>
      <c r="G80" s="3">
        <v>15</v>
      </c>
      <c r="H80" s="3">
        <v>8</v>
      </c>
      <c r="I80" s="3">
        <v>1</v>
      </c>
      <c r="J80" s="4" t="s">
        <v>51</v>
      </c>
      <c r="K80" s="4" t="s">
        <v>68</v>
      </c>
      <c r="L80" s="4" t="s">
        <v>49</v>
      </c>
      <c r="M80" s="4" t="s">
        <v>19</v>
      </c>
      <c r="N80" s="4" t="s">
        <v>49</v>
      </c>
      <c r="P80" s="6">
        <f t="shared" si="3"/>
        <v>300</v>
      </c>
      <c r="Q80" s="12">
        <f t="shared" si="4"/>
        <v>44</v>
      </c>
    </row>
    <row r="81" spans="1:25">
      <c r="A81" s="26" t="s">
        <v>1749</v>
      </c>
      <c r="B81" s="26" t="s">
        <v>1324</v>
      </c>
      <c r="C81" s="48" t="s">
        <v>1289</v>
      </c>
      <c r="D81" s="28" t="s">
        <v>381</v>
      </c>
      <c r="E81" s="28" t="s">
        <v>211</v>
      </c>
      <c r="F81" s="28" t="s">
        <v>291</v>
      </c>
      <c r="G81" s="27">
        <v>20</v>
      </c>
      <c r="H81" s="27">
        <v>9</v>
      </c>
      <c r="I81" s="27">
        <v>2</v>
      </c>
      <c r="J81" s="28" t="s">
        <v>930</v>
      </c>
      <c r="K81" s="28" t="s">
        <v>97</v>
      </c>
      <c r="L81" s="28" t="s">
        <v>49</v>
      </c>
      <c r="M81" s="28" t="s">
        <v>49</v>
      </c>
      <c r="N81" s="28" t="s">
        <v>49</v>
      </c>
      <c r="O81" s="49" t="s">
        <v>1293</v>
      </c>
      <c r="P81" s="28">
        <f t="shared" si="3"/>
        <v>315</v>
      </c>
      <c r="Q81" s="29">
        <f t="shared" si="4"/>
        <v>157.5</v>
      </c>
      <c r="R81" s="13"/>
      <c r="S81" s="13"/>
      <c r="T81" s="13"/>
      <c r="U81" s="13"/>
      <c r="V81" s="13"/>
      <c r="W81" s="13"/>
      <c r="X81" s="13"/>
      <c r="Y81" s="13"/>
    </row>
  </sheetData>
  <pageMargins left="0.7" right="0.7" top="0.75" bottom="0.75" header="0.3" footer="0.3"/>
  <pageSetup paperSize="9" orientation="portrait" r:id="rId1"/>
  <ignoredErrors>
    <ignoredError sqref="L68:L69 L76 M74 J70 J78" twoDigitTextYear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2"/>
  <sheetViews>
    <sheetView workbookViewId="0">
      <pane ySplit="1" topLeftCell="A2" activePane="bottomLeft" state="frozen"/>
      <selection pane="bottomLeft" activeCell="S3" sqref="S3:T5"/>
    </sheetView>
  </sheetViews>
  <sheetFormatPr defaultRowHeight="15"/>
  <cols>
    <col min="1" max="1" width="28.5703125" style="1" customWidth="1"/>
    <col min="2" max="2" width="11.42578125" style="1" customWidth="1"/>
    <col min="3" max="3" width="8.5703125" style="3" customWidth="1"/>
    <col min="4" max="4" width="12.85546875" style="3" customWidth="1"/>
    <col min="5" max="5" width="11.42578125" style="3" customWidth="1"/>
    <col min="6" max="6" width="10.7109375" style="3" customWidth="1"/>
    <col min="7" max="7" width="5.7109375" style="3" customWidth="1"/>
    <col min="8" max="8" width="10.7109375" style="3" customWidth="1"/>
    <col min="9" max="9" width="10" style="3" customWidth="1"/>
    <col min="10" max="14" width="9.28515625" style="4" customWidth="1"/>
    <col min="15" max="15" width="40.7109375" style="4" customWidth="1"/>
    <col min="16" max="17" width="10" style="5" customWidth="1"/>
    <col min="18" max="18" width="9.140625" style="2" customWidth="1"/>
    <col min="19" max="19" width="9.140625" style="2"/>
    <col min="20" max="20" width="15.7109375" style="2" customWidth="1"/>
    <col min="21" max="21" width="9.140625" style="2" customWidth="1"/>
    <col min="22" max="16384" width="9.140625" style="2"/>
  </cols>
  <sheetData>
    <row r="1" spans="1:23" s="17" customFormat="1" ht="15.75" thickBot="1">
      <c r="A1" s="7" t="s">
        <v>34</v>
      </c>
      <c r="B1" s="21" t="s">
        <v>1306</v>
      </c>
      <c r="C1" s="14" t="s">
        <v>1720</v>
      </c>
      <c r="D1" s="14" t="s">
        <v>1217</v>
      </c>
      <c r="E1" s="21" t="s">
        <v>200</v>
      </c>
      <c r="F1" s="8" t="s">
        <v>85</v>
      </c>
      <c r="G1" s="21" t="s">
        <v>207</v>
      </c>
      <c r="H1" s="8" t="s">
        <v>890</v>
      </c>
      <c r="I1" s="8" t="s">
        <v>0</v>
      </c>
      <c r="J1" s="14" t="s">
        <v>1</v>
      </c>
      <c r="K1" s="14" t="s">
        <v>2</v>
      </c>
      <c r="L1" s="14" t="s">
        <v>3</v>
      </c>
      <c r="M1" s="14" t="s">
        <v>5</v>
      </c>
      <c r="N1" s="14" t="s">
        <v>4</v>
      </c>
      <c r="O1" s="14" t="s">
        <v>41</v>
      </c>
      <c r="P1" s="15" t="s">
        <v>52</v>
      </c>
      <c r="Q1" s="16" t="s">
        <v>53</v>
      </c>
    </row>
    <row r="2" spans="1:23" ht="15.75" thickBot="1">
      <c r="A2" s="1" t="s">
        <v>879</v>
      </c>
      <c r="B2" s="1" t="s">
        <v>1405</v>
      </c>
      <c r="C2" s="3">
        <v>2</v>
      </c>
      <c r="D2" s="3" t="s">
        <v>199</v>
      </c>
      <c r="E2" s="3">
        <v>0</v>
      </c>
      <c r="F2" s="3">
        <v>30</v>
      </c>
      <c r="G2" s="3">
        <v>5</v>
      </c>
      <c r="H2" s="3" t="s">
        <v>199</v>
      </c>
      <c r="I2" s="3">
        <v>1</v>
      </c>
      <c r="J2" s="4" t="s">
        <v>314</v>
      </c>
      <c r="K2" s="4" t="s">
        <v>49</v>
      </c>
      <c r="L2" s="4" t="s">
        <v>314</v>
      </c>
      <c r="M2" s="4" t="s">
        <v>49</v>
      </c>
      <c r="N2" s="4" t="s">
        <v>49</v>
      </c>
      <c r="O2" s="4" t="s">
        <v>998</v>
      </c>
      <c r="P2" s="6">
        <f>IFERROR(LEFT($I2,FIND("+",$I2)-2) + MID($I2, FIND("+",$I2)+1, LEN($I2)-FIND("+",$I2)-1), IFERROR(IF(LEFT($I2,FIND("-",$I2)-2) - MID($I2, FIND("-",$I2)+1, LEN($I2)-FIND("-",$I2)-1) &gt; 0,LEFT($I2,FIND("-",$I2)-2) - MID($I2, FIND("-",$I2)+1, LEN($I2)-FIND("-",$I2)-1),1), $I2)) * (LEFT($J2,FIND("-",$J2)-1)+IFERROR(MID($J2,FIND("-",$J2)+1,FIND("+",$J2)-FIND("-",$J2)-2)+2*MID($J2,FIND("+",$J2)+1,LEN($J2)-FIND("+",$J2)-1),RIGHT($J2, LEN($J2) - FIND("-",$J2))) + LEFT($L2,FIND("-",$L2)-1)+IFERROR(MID($L2,FIND("-",$L2)+1,FIND("+",$L2)-FIND("-",$L2)-2)+2*MID($L2,FIND("+",$L2)+1,LEN($L2)-FIND("+",$L2)-1),RIGHT($L2, LEN($L2) - FIND("-",$L2))) + LEFT($M2,FIND("-",$M2)-1)+IFERROR(MID($M2,FIND("-",$M2)+1,FIND("+",$M2)-FIND("-",$M2)-2)+2*MID($M2,FIND("+",$M2)+1,LEN($M2)-FIND("+",$M2)-1),RIGHT($M2, LEN($M2) - FIND("-",$M2))) + LEFT($N2,FIND("-",$N2)-1)+IFERROR(MID($N2,FIND("-",$N2)+1,FIND("+",$N2)-FIND("-",$N2)-2)+2*MID($N2,FIND("+",$N2)+1,LEN($N2)-FIND("+",$N2)-1),RIGHT($N2, LEN($N2) - FIND("-",$N2)))) / 2</f>
        <v>18</v>
      </c>
      <c r="Q2" s="6">
        <f>IFERROR(LEFT($I2,FIND("+",$I2)-2) + MID($I2, FIND("+",$I2)+1, LEN($I2)-FIND("+",$I2)-1), IFERROR(IF(LEFT($I2,FIND("-",$I2)-2) - MID($I2, FIND("-",$I2)+1, LEN($I2)-FIND("-",$I2)-1) &gt; 0,LEFT($I2,FIND("-",$I2)-2) - MID($I2, FIND("-",$I2)+1, LEN($I2)-FIND("-",$I2)-1),1), $I2)) * (LEFT($K2,FIND("-",$K2)-1)+IFERROR(MID($K2,FIND("-",$K2)+1,FIND("+",$K2)-FIND("-",$K2)-2)+2*MID($K2,FIND("+",$K2)+1,LEN($K2)-FIND("+",$K2)-1),RIGHT($K2, LEN($K2) - FIND("-",$K2)))) / 2</f>
        <v>0</v>
      </c>
    </row>
    <row r="3" spans="1:23">
      <c r="A3" s="26" t="s">
        <v>879</v>
      </c>
      <c r="B3" s="26" t="s">
        <v>1407</v>
      </c>
      <c r="C3" s="27">
        <v>2</v>
      </c>
      <c r="D3" s="27" t="s">
        <v>199</v>
      </c>
      <c r="E3" s="27">
        <v>40</v>
      </c>
      <c r="F3" s="27">
        <v>5</v>
      </c>
      <c r="G3" s="27">
        <v>10</v>
      </c>
      <c r="H3" s="27" t="s">
        <v>199</v>
      </c>
      <c r="I3" s="27">
        <v>1</v>
      </c>
      <c r="J3" s="28" t="s">
        <v>49</v>
      </c>
      <c r="K3" s="28" t="s">
        <v>49</v>
      </c>
      <c r="L3" s="28" t="s">
        <v>22</v>
      </c>
      <c r="M3" s="28" t="s">
        <v>49</v>
      </c>
      <c r="N3" s="28" t="s">
        <v>49</v>
      </c>
      <c r="O3" s="28" t="s">
        <v>999</v>
      </c>
      <c r="P3" s="28">
        <f>IFERROR(LEFT($I3,FIND("+",$I3)-2) + MID($I3, FIND("+",$I3)+1, LEN($I3)-FIND("+",$I3)-1), IFERROR(IF(LEFT($I3,FIND("-",$I3)-2) - MID($I3, FIND("-",$I3)+1, LEN($I3)-FIND("-",$I3)-1) &gt; 0,LEFT($I3,FIND("-",$I3)-2) - MID($I3, FIND("-",$I3)+1, LEN($I3)-FIND("-",$I3)-1),1), $I3)) * (LEFT($J3,FIND("-",$J3)-1)+IFERROR(MID($J3,FIND("-",$J3)+1,FIND("+",$J3)-FIND("-",$J3)-2)+2*MID($J3,FIND("+",$J3)+1,LEN($J3)-FIND("+",$J3)-1),RIGHT($J3, LEN($J3) - FIND("-",$J3))) + LEFT($L3,FIND("-",$L3)-1)+IFERROR(MID($L3,FIND("-",$L3)+1,FIND("+",$L3)-FIND("-",$L3)-2)+2*MID($L3,FIND("+",$L3)+1,LEN($L3)-FIND("+",$L3)-1),RIGHT($L3, LEN($L3) - FIND("-",$L3))) + LEFT($M3,FIND("-",$M3)-1)+IFERROR(MID($M3,FIND("-",$M3)+1,FIND("+",$M3)-FIND("-",$M3)-2)+2*MID($M3,FIND("+",$M3)+1,LEN($M3)-FIND("+",$M3)-1),RIGHT($M3, LEN($M3) - FIND("-",$M3))) + LEFT($N3,FIND("-",$N3)-1)+IFERROR(MID($N3,FIND("-",$N3)+1,FIND("+",$N3)-FIND("-",$N3)-2)+2*MID($N3,FIND("+",$N3)+1,LEN($N3)-FIND("+",$N3)-1),RIGHT($N3, LEN($N3) - FIND("-",$N3)))) / 2</f>
        <v>20</v>
      </c>
      <c r="Q3" s="28">
        <f>IFERROR(LEFT($I3,FIND("+",$I3)-2) + MID($I3, FIND("+",$I3)+1, LEN($I3)-FIND("+",$I3)-1), IFERROR(IF(LEFT($I3,FIND("-",$I3)-2) - MID($I3, FIND("-",$I3)+1, LEN($I3)-FIND("-",$I3)-1) &gt; 0,LEFT($I3,FIND("-",$I3)-2) - MID($I3, FIND("-",$I3)+1, LEN($I3)-FIND("-",$I3)-1),1), $I3)) * (LEFT($K3,FIND("-",$K3)-1)+IFERROR(MID($K3,FIND("-",$K3)+1,FIND("+",$K3)-FIND("-",$K3)-2)+2*MID($K3,FIND("+",$K3)+1,LEN($K3)-FIND("+",$K3)-1),RIGHT($K3, LEN($K3) - FIND("-",$K3)))) / 2</f>
        <v>0</v>
      </c>
      <c r="S3" s="35"/>
      <c r="T3" s="22" t="s">
        <v>72</v>
      </c>
    </row>
    <row r="4" spans="1:23">
      <c r="A4" s="1" t="s">
        <v>1008</v>
      </c>
      <c r="B4" s="1" t="s">
        <v>1405</v>
      </c>
      <c r="C4" s="3">
        <v>2</v>
      </c>
      <c r="D4" s="3" t="s">
        <v>199</v>
      </c>
      <c r="E4" s="3">
        <v>100</v>
      </c>
      <c r="F4" s="3">
        <v>20</v>
      </c>
      <c r="G4" s="3">
        <v>20</v>
      </c>
      <c r="H4" s="3" t="s">
        <v>199</v>
      </c>
      <c r="I4" s="3">
        <v>1</v>
      </c>
      <c r="J4" s="4" t="s">
        <v>49</v>
      </c>
      <c r="K4" s="4" t="s">
        <v>49</v>
      </c>
      <c r="L4" s="4" t="s">
        <v>49</v>
      </c>
      <c r="M4" s="4" t="s">
        <v>49</v>
      </c>
      <c r="N4" s="4" t="s">
        <v>49</v>
      </c>
      <c r="O4" s="4" t="s">
        <v>1009</v>
      </c>
      <c r="P4" s="6">
        <f t="shared" ref="P4:P55" si="0">IFERROR(LEFT($I4,FIND("+",$I4)-2) + MID($I4, FIND("+",$I4)+1, LEN($I4)-FIND("+",$I4)-1), IFERROR(IF(LEFT($I4,FIND("-",$I4)-2) - MID($I4, FIND("-",$I4)+1, LEN($I4)-FIND("-",$I4)-1) &gt; 0,LEFT($I4,FIND("-",$I4)-2) - MID($I4, FIND("-",$I4)+1, LEN($I4)-FIND("-",$I4)-1),1), $I4)) * (LEFT($J4,FIND("-",$J4)-1)+IFERROR(MID($J4,FIND("-",$J4)+1,FIND("+",$J4)-FIND("-",$J4)-2)+2*MID($J4,FIND("+",$J4)+1,LEN($J4)-FIND("+",$J4)-1),RIGHT($J4, LEN($J4) - FIND("-",$J4))) + LEFT($L4,FIND("-",$L4)-1)+IFERROR(MID($L4,FIND("-",$L4)+1,FIND("+",$L4)-FIND("-",$L4)-2)+2*MID($L4,FIND("+",$L4)+1,LEN($L4)-FIND("+",$L4)-1),RIGHT($L4, LEN($L4) - FIND("-",$L4))) + LEFT($M4,FIND("-",$M4)-1)+IFERROR(MID($M4,FIND("-",$M4)+1,FIND("+",$M4)-FIND("-",$M4)-2)+2*MID($M4,FIND("+",$M4)+1,LEN($M4)-FIND("+",$M4)-1),RIGHT($M4, LEN($M4) - FIND("-",$M4))) + LEFT($N4,FIND("-",$N4)-1)+IFERROR(MID($N4,FIND("-",$N4)+1,FIND("+",$N4)-FIND("-",$N4)-2)+2*MID($N4,FIND("+",$N4)+1,LEN($N4)-FIND("+",$N4)-1),RIGHT($N4, LEN($N4) - FIND("-",$N4)))) / 2</f>
        <v>0</v>
      </c>
      <c r="Q4" s="6">
        <f t="shared" ref="Q4:Q55" si="1">IFERROR(LEFT($I4,FIND("+",$I4)-2) + MID($I4, FIND("+",$I4)+1, LEN($I4)-FIND("+",$I4)-1), IFERROR(IF(LEFT($I4,FIND("-",$I4)-2) - MID($I4, FIND("-",$I4)+1, LEN($I4)-FIND("-",$I4)-1) &gt; 0,LEFT($I4,FIND("-",$I4)-2) - MID($I4, FIND("-",$I4)+1, LEN($I4)-FIND("-",$I4)-1),1), $I4)) * (LEFT($K4,FIND("-",$K4)-1)+IFERROR(MID($K4,FIND("-",$K4)+1,FIND("+",$K4)-FIND("-",$K4)-2)+2*MID($K4,FIND("+",$K4)+1,LEN($K4)-FIND("+",$K4)-1),RIGHT($K4, LEN($K4) - FIND("-",$K4)))) / 2</f>
        <v>0</v>
      </c>
      <c r="S4" s="43"/>
      <c r="T4" s="44" t="s">
        <v>73</v>
      </c>
    </row>
    <row r="5" spans="1:23" ht="15.75" thickBot="1">
      <c r="A5" s="26" t="s">
        <v>1008</v>
      </c>
      <c r="B5" s="48" t="s">
        <v>1093</v>
      </c>
      <c r="C5" s="27">
        <v>2</v>
      </c>
      <c r="D5" s="27" t="s">
        <v>199</v>
      </c>
      <c r="E5" s="27">
        <v>65</v>
      </c>
      <c r="F5" s="27">
        <v>10</v>
      </c>
      <c r="G5" s="27">
        <v>15</v>
      </c>
      <c r="H5" s="27" t="s">
        <v>199</v>
      </c>
      <c r="I5" s="27">
        <v>1</v>
      </c>
      <c r="J5" s="28" t="s">
        <v>49</v>
      </c>
      <c r="K5" s="28" t="s">
        <v>49</v>
      </c>
      <c r="L5" s="28" t="s">
        <v>49</v>
      </c>
      <c r="M5" s="28" t="s">
        <v>49</v>
      </c>
      <c r="N5" s="28" t="s">
        <v>49</v>
      </c>
      <c r="O5" s="28" t="s">
        <v>1009</v>
      </c>
      <c r="P5" s="28">
        <f t="shared" si="0"/>
        <v>0</v>
      </c>
      <c r="Q5" s="28">
        <f t="shared" si="1"/>
        <v>0</v>
      </c>
      <c r="S5" s="51"/>
      <c r="T5" s="45" t="s">
        <v>929</v>
      </c>
    </row>
    <row r="6" spans="1:23">
      <c r="A6" s="1" t="s">
        <v>1010</v>
      </c>
      <c r="B6" s="1" t="s">
        <v>1405</v>
      </c>
      <c r="C6" s="3">
        <v>1</v>
      </c>
      <c r="D6" s="3" t="s">
        <v>199</v>
      </c>
      <c r="E6" s="3">
        <v>160</v>
      </c>
      <c r="F6" s="3">
        <v>20</v>
      </c>
      <c r="G6" s="3">
        <v>20</v>
      </c>
      <c r="H6" s="3" t="s">
        <v>199</v>
      </c>
      <c r="I6" s="3">
        <v>1</v>
      </c>
      <c r="J6" s="4" t="s">
        <v>49</v>
      </c>
      <c r="K6" s="4" t="s">
        <v>49</v>
      </c>
      <c r="L6" s="4" t="s">
        <v>49</v>
      </c>
      <c r="M6" s="4" t="s">
        <v>49</v>
      </c>
      <c r="N6" s="4" t="s">
        <v>49</v>
      </c>
      <c r="O6" s="4" t="s">
        <v>1011</v>
      </c>
      <c r="P6" s="6">
        <f t="shared" si="0"/>
        <v>0</v>
      </c>
      <c r="Q6" s="6">
        <f t="shared" si="1"/>
        <v>0</v>
      </c>
      <c r="S6" s="13"/>
      <c r="T6" s="13"/>
    </row>
    <row r="7" spans="1:23">
      <c r="A7" s="26" t="s">
        <v>1010</v>
      </c>
      <c r="B7" s="48" t="s">
        <v>1408</v>
      </c>
      <c r="C7" s="27">
        <v>1</v>
      </c>
      <c r="D7" s="27" t="s">
        <v>199</v>
      </c>
      <c r="E7" s="27">
        <v>90</v>
      </c>
      <c r="F7" s="27">
        <v>15</v>
      </c>
      <c r="G7" s="27">
        <v>20</v>
      </c>
      <c r="H7" s="27" t="s">
        <v>199</v>
      </c>
      <c r="I7" s="27">
        <v>1</v>
      </c>
      <c r="J7" s="28" t="s">
        <v>49</v>
      </c>
      <c r="K7" s="28" t="s">
        <v>49</v>
      </c>
      <c r="L7" s="28" t="s">
        <v>49</v>
      </c>
      <c r="M7" s="28" t="s">
        <v>49</v>
      </c>
      <c r="N7" s="28" t="s">
        <v>49</v>
      </c>
      <c r="O7" s="28" t="s">
        <v>1011</v>
      </c>
      <c r="P7" s="28">
        <f t="shared" si="0"/>
        <v>0</v>
      </c>
      <c r="Q7" s="28">
        <f t="shared" si="1"/>
        <v>0</v>
      </c>
      <c r="S7" s="13"/>
      <c r="T7" s="13"/>
    </row>
    <row r="8" spans="1:23">
      <c r="A8" s="1" t="s">
        <v>1012</v>
      </c>
      <c r="B8" s="1" t="s">
        <v>1405</v>
      </c>
      <c r="C8" s="3">
        <v>3</v>
      </c>
      <c r="D8" s="3" t="s">
        <v>199</v>
      </c>
      <c r="E8" s="3">
        <v>330</v>
      </c>
      <c r="F8" s="3">
        <v>20</v>
      </c>
      <c r="G8" s="3">
        <v>20</v>
      </c>
      <c r="H8" s="3" t="s">
        <v>199</v>
      </c>
      <c r="I8" s="3">
        <v>1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1015</v>
      </c>
      <c r="P8" s="6">
        <f t="shared" si="0"/>
        <v>0</v>
      </c>
      <c r="Q8" s="6">
        <f t="shared" si="1"/>
        <v>0</v>
      </c>
      <c r="R8" s="6"/>
      <c r="S8" s="13"/>
      <c r="T8" s="13"/>
      <c r="U8" s="13"/>
    </row>
    <row r="9" spans="1:23">
      <c r="A9" s="26" t="s">
        <v>1012</v>
      </c>
      <c r="B9" s="26" t="s">
        <v>1413</v>
      </c>
      <c r="C9" s="27">
        <v>2</v>
      </c>
      <c r="D9" s="27" t="s">
        <v>199</v>
      </c>
      <c r="E9" s="27">
        <v>110</v>
      </c>
      <c r="F9" s="27">
        <v>15</v>
      </c>
      <c r="G9" s="27">
        <v>20</v>
      </c>
      <c r="H9" s="27" t="s">
        <v>199</v>
      </c>
      <c r="I9" s="27">
        <v>1</v>
      </c>
      <c r="J9" s="28" t="s">
        <v>49</v>
      </c>
      <c r="K9" s="28" t="s">
        <v>46</v>
      </c>
      <c r="L9" s="28" t="s">
        <v>49</v>
      </c>
      <c r="M9" s="28" t="s">
        <v>49</v>
      </c>
      <c r="N9" s="28" t="s">
        <v>49</v>
      </c>
      <c r="O9" s="28" t="s">
        <v>1015</v>
      </c>
      <c r="P9" s="28">
        <f t="shared" si="0"/>
        <v>0</v>
      </c>
      <c r="Q9" s="28">
        <f t="shared" si="1"/>
        <v>10</v>
      </c>
      <c r="R9" s="6"/>
      <c r="S9" s="13"/>
      <c r="T9" s="13"/>
      <c r="U9" s="13"/>
    </row>
    <row r="10" spans="1:23">
      <c r="A10" s="1" t="s">
        <v>880</v>
      </c>
      <c r="B10" s="1" t="s">
        <v>1405</v>
      </c>
      <c r="C10" s="3">
        <v>2</v>
      </c>
      <c r="D10" s="3" t="s">
        <v>199</v>
      </c>
      <c r="E10" s="3">
        <v>1155</v>
      </c>
      <c r="F10" s="3">
        <v>20</v>
      </c>
      <c r="G10" s="3">
        <v>20</v>
      </c>
      <c r="H10" s="3" t="s">
        <v>199</v>
      </c>
      <c r="I10" s="3">
        <v>1</v>
      </c>
      <c r="J10" s="4" t="s">
        <v>887</v>
      </c>
      <c r="K10" s="4" t="s">
        <v>49</v>
      </c>
      <c r="L10" s="4" t="s">
        <v>887</v>
      </c>
      <c r="M10" s="4" t="s">
        <v>49</v>
      </c>
      <c r="N10" s="4" t="s">
        <v>49</v>
      </c>
      <c r="O10" s="4" t="s">
        <v>998</v>
      </c>
      <c r="P10" s="6">
        <f t="shared" si="0"/>
        <v>35</v>
      </c>
      <c r="Q10" s="6">
        <f t="shared" si="1"/>
        <v>0</v>
      </c>
      <c r="R10" s="6"/>
      <c r="S10" s="13"/>
      <c r="T10" s="13"/>
      <c r="U10" s="13"/>
      <c r="V10" s="13"/>
    </row>
    <row r="11" spans="1:23">
      <c r="A11" s="26" t="s">
        <v>881</v>
      </c>
      <c r="B11" s="26" t="s">
        <v>1715</v>
      </c>
      <c r="C11" s="27">
        <v>2</v>
      </c>
      <c r="D11" s="27" t="s">
        <v>199</v>
      </c>
      <c r="E11" s="27">
        <v>150</v>
      </c>
      <c r="F11" s="27">
        <v>15</v>
      </c>
      <c r="G11" s="27">
        <v>20</v>
      </c>
      <c r="H11" s="27" t="s">
        <v>199</v>
      </c>
      <c r="I11" s="27">
        <v>1</v>
      </c>
      <c r="J11" s="28" t="s">
        <v>226</v>
      </c>
      <c r="K11" s="28" t="s">
        <v>298</v>
      </c>
      <c r="L11" s="28" t="s">
        <v>146</v>
      </c>
      <c r="M11" s="28" t="s">
        <v>49</v>
      </c>
      <c r="N11" s="28" t="s">
        <v>49</v>
      </c>
      <c r="O11" s="28" t="s">
        <v>999</v>
      </c>
      <c r="P11" s="28">
        <f t="shared" si="0"/>
        <v>60</v>
      </c>
      <c r="Q11" s="28">
        <f t="shared" si="1"/>
        <v>22.5</v>
      </c>
      <c r="R11" s="6"/>
      <c r="S11" s="13"/>
      <c r="T11" s="13"/>
      <c r="U11" s="13"/>
      <c r="V11" s="13"/>
    </row>
    <row r="12" spans="1:23">
      <c r="A12" s="10" t="s">
        <v>882</v>
      </c>
      <c r="B12" s="1" t="s">
        <v>1405</v>
      </c>
      <c r="C12" s="11">
        <v>2</v>
      </c>
      <c r="D12" s="11" t="s">
        <v>199</v>
      </c>
      <c r="E12" s="11">
        <v>520</v>
      </c>
      <c r="F12" s="11">
        <v>20</v>
      </c>
      <c r="G12" s="11">
        <v>30</v>
      </c>
      <c r="H12" s="11" t="s">
        <v>199</v>
      </c>
      <c r="I12" s="11">
        <v>1</v>
      </c>
      <c r="J12" s="6" t="s">
        <v>888</v>
      </c>
      <c r="K12" s="6" t="s">
        <v>146</v>
      </c>
      <c r="L12" s="6" t="s">
        <v>49</v>
      </c>
      <c r="M12" s="6" t="s">
        <v>49</v>
      </c>
      <c r="N12" s="6" t="s">
        <v>49</v>
      </c>
      <c r="O12" s="6" t="s">
        <v>998</v>
      </c>
      <c r="P12" s="6">
        <f t="shared" si="0"/>
        <v>37.5</v>
      </c>
      <c r="Q12" s="6">
        <f t="shared" si="1"/>
        <v>15</v>
      </c>
      <c r="R12" s="13"/>
      <c r="S12" s="13"/>
      <c r="T12" s="13"/>
      <c r="U12" s="13"/>
      <c r="V12" s="13"/>
      <c r="W12" s="13"/>
    </row>
    <row r="13" spans="1:23">
      <c r="A13" s="26" t="s">
        <v>883</v>
      </c>
      <c r="B13" s="26" t="s">
        <v>1715</v>
      </c>
      <c r="C13" s="27">
        <v>3</v>
      </c>
      <c r="D13" s="27" t="s">
        <v>199</v>
      </c>
      <c r="E13" s="27">
        <v>200</v>
      </c>
      <c r="F13" s="27">
        <v>20</v>
      </c>
      <c r="G13" s="27">
        <v>30</v>
      </c>
      <c r="H13" s="27" t="s">
        <v>199</v>
      </c>
      <c r="I13" s="27">
        <v>1</v>
      </c>
      <c r="J13" s="28" t="s">
        <v>884</v>
      </c>
      <c r="K13" s="28" t="s">
        <v>888</v>
      </c>
      <c r="L13" s="28" t="s">
        <v>146</v>
      </c>
      <c r="M13" s="28" t="s">
        <v>49</v>
      </c>
      <c r="N13" s="28" t="s">
        <v>49</v>
      </c>
      <c r="O13" s="28" t="s">
        <v>999</v>
      </c>
      <c r="P13" s="28">
        <f t="shared" si="0"/>
        <v>90</v>
      </c>
      <c r="Q13" s="28">
        <f t="shared" si="1"/>
        <v>37.5</v>
      </c>
      <c r="R13" s="13"/>
      <c r="S13" s="13"/>
      <c r="T13" s="13"/>
      <c r="U13" s="13"/>
      <c r="V13" s="13"/>
      <c r="W13" s="13"/>
    </row>
    <row r="14" spans="1:23">
      <c r="A14" s="10" t="s">
        <v>885</v>
      </c>
      <c r="B14" s="1" t="s">
        <v>199</v>
      </c>
      <c r="C14" s="11">
        <v>2</v>
      </c>
      <c r="D14" s="11" t="s">
        <v>199</v>
      </c>
      <c r="E14" s="11">
        <v>520</v>
      </c>
      <c r="F14" s="11">
        <v>20</v>
      </c>
      <c r="G14" s="11">
        <v>30</v>
      </c>
      <c r="H14" s="11" t="s">
        <v>199</v>
      </c>
      <c r="I14" s="11">
        <v>1</v>
      </c>
      <c r="J14" s="6" t="s">
        <v>100</v>
      </c>
      <c r="K14" s="6" t="s">
        <v>49</v>
      </c>
      <c r="L14" s="6" t="s">
        <v>49</v>
      </c>
      <c r="M14" s="6" t="s">
        <v>887</v>
      </c>
      <c r="N14" s="6" t="s">
        <v>49</v>
      </c>
      <c r="O14" s="6" t="s">
        <v>1000</v>
      </c>
      <c r="P14" s="6">
        <f t="shared" si="0"/>
        <v>20.5</v>
      </c>
      <c r="Q14" s="6">
        <f t="shared" si="1"/>
        <v>0</v>
      </c>
      <c r="R14" s="13"/>
      <c r="S14" s="13"/>
      <c r="T14" s="13"/>
      <c r="U14" s="13"/>
      <c r="V14" s="13"/>
      <c r="W14" s="13"/>
    </row>
    <row r="15" spans="1:23">
      <c r="A15" s="26" t="s">
        <v>885</v>
      </c>
      <c r="B15" s="26" t="s">
        <v>1057</v>
      </c>
      <c r="C15" s="27">
        <v>2</v>
      </c>
      <c r="D15" s="27" t="s">
        <v>199</v>
      </c>
      <c r="E15" s="27">
        <v>145</v>
      </c>
      <c r="F15" s="27">
        <v>15</v>
      </c>
      <c r="G15" s="27">
        <v>25</v>
      </c>
      <c r="H15" s="27" t="s">
        <v>199</v>
      </c>
      <c r="I15" s="27">
        <v>1</v>
      </c>
      <c r="J15" s="28" t="s">
        <v>49</v>
      </c>
      <c r="K15" s="28" t="s">
        <v>49</v>
      </c>
      <c r="L15" s="28" t="s">
        <v>49</v>
      </c>
      <c r="M15" s="28" t="s">
        <v>15</v>
      </c>
      <c r="N15" s="28" t="s">
        <v>49</v>
      </c>
      <c r="O15" s="28" t="s">
        <v>1752</v>
      </c>
      <c r="P15" s="28">
        <f t="shared" si="0"/>
        <v>40</v>
      </c>
      <c r="Q15" s="28">
        <f t="shared" si="1"/>
        <v>0</v>
      </c>
      <c r="R15" s="13"/>
      <c r="S15" s="13"/>
      <c r="T15" s="13"/>
      <c r="U15" s="13"/>
      <c r="V15" s="13"/>
      <c r="W15" s="13"/>
    </row>
    <row r="16" spans="1:23">
      <c r="A16" s="10" t="s">
        <v>1014</v>
      </c>
      <c r="B16" s="1" t="s">
        <v>199</v>
      </c>
      <c r="C16" s="11">
        <v>2</v>
      </c>
      <c r="D16" s="11" t="s">
        <v>199</v>
      </c>
      <c r="E16" s="11">
        <v>647</v>
      </c>
      <c r="F16" s="11">
        <v>20</v>
      </c>
      <c r="G16" s="11">
        <v>30</v>
      </c>
      <c r="H16" s="11" t="s">
        <v>199</v>
      </c>
      <c r="I16" s="11">
        <v>1</v>
      </c>
      <c r="J16" s="6" t="s">
        <v>49</v>
      </c>
      <c r="K16" s="6" t="s">
        <v>49</v>
      </c>
      <c r="L16" s="6" t="s">
        <v>49</v>
      </c>
      <c r="M16" s="6" t="s">
        <v>49</v>
      </c>
      <c r="N16" s="6" t="s">
        <v>49</v>
      </c>
      <c r="O16" s="6" t="s">
        <v>2181</v>
      </c>
      <c r="P16" s="6">
        <f t="shared" si="0"/>
        <v>0</v>
      </c>
      <c r="Q16" s="6">
        <f t="shared" si="1"/>
        <v>0</v>
      </c>
      <c r="R16" s="6"/>
      <c r="S16" s="13"/>
      <c r="T16" s="13"/>
      <c r="U16" s="13"/>
      <c r="V16" s="13"/>
      <c r="W16" s="13"/>
    </row>
    <row r="17" spans="1:23">
      <c r="A17" s="26" t="s">
        <v>2183</v>
      </c>
      <c r="B17" s="48" t="s">
        <v>1408</v>
      </c>
      <c r="C17" s="27">
        <v>2</v>
      </c>
      <c r="D17" s="27" t="s">
        <v>199</v>
      </c>
      <c r="E17" s="27">
        <v>220</v>
      </c>
      <c r="F17" s="27">
        <v>15</v>
      </c>
      <c r="G17" s="27">
        <v>25</v>
      </c>
      <c r="H17" s="27" t="s">
        <v>199</v>
      </c>
      <c r="I17" s="27">
        <v>1</v>
      </c>
      <c r="J17" s="28" t="s">
        <v>49</v>
      </c>
      <c r="K17" s="28" t="s">
        <v>49</v>
      </c>
      <c r="L17" s="28" t="s">
        <v>49</v>
      </c>
      <c r="M17" s="28" t="s">
        <v>49</v>
      </c>
      <c r="N17" s="28" t="s">
        <v>49</v>
      </c>
      <c r="O17" s="28" t="s">
        <v>2182</v>
      </c>
      <c r="P17" s="28">
        <f t="shared" si="0"/>
        <v>0</v>
      </c>
      <c r="Q17" s="28">
        <f t="shared" si="1"/>
        <v>0</v>
      </c>
      <c r="R17" s="6"/>
      <c r="S17" s="13"/>
      <c r="T17" s="13"/>
      <c r="U17" s="13"/>
      <c r="V17" s="13"/>
      <c r="W17" s="13"/>
    </row>
    <row r="18" spans="1:23">
      <c r="A18" s="10" t="s">
        <v>1013</v>
      </c>
      <c r="B18" s="1" t="s">
        <v>1405</v>
      </c>
      <c r="C18" s="11">
        <v>2</v>
      </c>
      <c r="D18" s="11" t="s">
        <v>199</v>
      </c>
      <c r="E18" s="11">
        <v>480</v>
      </c>
      <c r="F18" s="11">
        <v>20</v>
      </c>
      <c r="G18" s="11">
        <v>30</v>
      </c>
      <c r="H18" s="11" t="s">
        <v>199</v>
      </c>
      <c r="I18" s="11">
        <v>1</v>
      </c>
      <c r="J18" s="6" t="s">
        <v>49</v>
      </c>
      <c r="K18" s="6" t="s">
        <v>49</v>
      </c>
      <c r="L18" s="6" t="s">
        <v>49</v>
      </c>
      <c r="M18" s="6" t="s">
        <v>49</v>
      </c>
      <c r="N18" s="6" t="s">
        <v>49</v>
      </c>
      <c r="O18" s="6" t="s">
        <v>2179</v>
      </c>
      <c r="P18" s="6">
        <f t="shared" si="0"/>
        <v>0</v>
      </c>
      <c r="Q18" s="6">
        <f t="shared" si="1"/>
        <v>0</v>
      </c>
      <c r="R18" s="13"/>
      <c r="S18" s="13"/>
      <c r="T18" s="13"/>
      <c r="U18" s="13"/>
      <c r="V18" s="13"/>
      <c r="W18" s="13"/>
    </row>
    <row r="19" spans="1:23">
      <c r="A19" s="26" t="s">
        <v>2176</v>
      </c>
      <c r="B19" s="48" t="s">
        <v>1408</v>
      </c>
      <c r="C19" s="27">
        <v>2</v>
      </c>
      <c r="D19" s="27" t="s">
        <v>199</v>
      </c>
      <c r="E19" s="27">
        <v>195</v>
      </c>
      <c r="F19" s="27">
        <v>15</v>
      </c>
      <c r="G19" s="27">
        <v>25</v>
      </c>
      <c r="H19" s="27" t="s">
        <v>199</v>
      </c>
      <c r="I19" s="27">
        <v>1</v>
      </c>
      <c r="J19" s="28" t="s">
        <v>49</v>
      </c>
      <c r="K19" s="28" t="s">
        <v>49</v>
      </c>
      <c r="L19" s="28" t="s">
        <v>49</v>
      </c>
      <c r="M19" s="28" t="s">
        <v>49</v>
      </c>
      <c r="N19" s="28" t="s">
        <v>49</v>
      </c>
      <c r="O19" s="28" t="s">
        <v>2180</v>
      </c>
      <c r="P19" s="28">
        <f t="shared" si="0"/>
        <v>0</v>
      </c>
      <c r="Q19" s="28">
        <f t="shared" si="1"/>
        <v>0</v>
      </c>
      <c r="R19" s="13"/>
      <c r="S19" s="13"/>
      <c r="T19" s="13"/>
      <c r="U19" s="13"/>
      <c r="V19" s="13"/>
      <c r="W19" s="13"/>
    </row>
    <row r="20" spans="1:23">
      <c r="A20" s="10" t="s">
        <v>886</v>
      </c>
      <c r="B20" s="1" t="s">
        <v>1405</v>
      </c>
      <c r="C20" s="11">
        <v>1</v>
      </c>
      <c r="D20" s="11" t="s">
        <v>199</v>
      </c>
      <c r="E20" s="11">
        <v>402</v>
      </c>
      <c r="F20" s="11">
        <v>20</v>
      </c>
      <c r="G20" s="11">
        <v>30</v>
      </c>
      <c r="H20" s="11" t="s">
        <v>199</v>
      </c>
      <c r="I20" s="11">
        <v>1</v>
      </c>
      <c r="J20" s="6" t="s">
        <v>49</v>
      </c>
      <c r="K20" s="6" t="s">
        <v>49</v>
      </c>
      <c r="L20" s="6" t="s">
        <v>49</v>
      </c>
      <c r="M20" s="6" t="s">
        <v>49</v>
      </c>
      <c r="N20" s="6" t="s">
        <v>889</v>
      </c>
      <c r="O20" s="6" t="s">
        <v>1000</v>
      </c>
      <c r="P20" s="6">
        <f t="shared" si="0"/>
        <v>20</v>
      </c>
      <c r="Q20" s="6">
        <f t="shared" si="1"/>
        <v>0</v>
      </c>
      <c r="R20" s="13"/>
      <c r="S20" s="13"/>
      <c r="T20" s="13"/>
      <c r="U20" s="13"/>
      <c r="V20" s="13"/>
      <c r="W20" s="13"/>
    </row>
    <row r="21" spans="1:23">
      <c r="A21" s="26" t="s">
        <v>2512</v>
      </c>
      <c r="B21" s="48" t="s">
        <v>1408</v>
      </c>
      <c r="C21" s="27">
        <v>1</v>
      </c>
      <c r="D21" s="27" t="s">
        <v>199</v>
      </c>
      <c r="E21" s="27">
        <v>190</v>
      </c>
      <c r="F21" s="27">
        <v>15</v>
      </c>
      <c r="G21" s="27">
        <v>25</v>
      </c>
      <c r="H21" s="27" t="s">
        <v>199</v>
      </c>
      <c r="I21" s="27">
        <v>1</v>
      </c>
      <c r="J21" s="28" t="s">
        <v>55</v>
      </c>
      <c r="K21" s="28" t="s">
        <v>49</v>
      </c>
      <c r="L21" s="28" t="s">
        <v>49</v>
      </c>
      <c r="M21" s="28" t="s">
        <v>49</v>
      </c>
      <c r="N21" s="28" t="s">
        <v>992</v>
      </c>
      <c r="O21" s="28" t="s">
        <v>2511</v>
      </c>
      <c r="P21" s="28">
        <f t="shared" si="0"/>
        <v>40</v>
      </c>
      <c r="Q21" s="28">
        <f t="shared" si="1"/>
        <v>0</v>
      </c>
      <c r="R21" s="13"/>
      <c r="S21" s="13"/>
      <c r="T21" s="13"/>
      <c r="U21" s="13"/>
      <c r="V21" s="13"/>
      <c r="W21" s="13"/>
    </row>
    <row r="22" spans="1:23">
      <c r="A22" s="10" t="s">
        <v>1001</v>
      </c>
      <c r="B22" s="1" t="s">
        <v>1405</v>
      </c>
      <c r="C22" s="11">
        <v>3</v>
      </c>
      <c r="D22" s="11" t="s">
        <v>199</v>
      </c>
      <c r="E22" s="11">
        <v>190</v>
      </c>
      <c r="F22" s="11">
        <v>20</v>
      </c>
      <c r="G22" s="11">
        <v>30</v>
      </c>
      <c r="H22" s="11" t="s">
        <v>199</v>
      </c>
      <c r="I22" s="11">
        <v>1</v>
      </c>
      <c r="J22" s="6" t="s">
        <v>49</v>
      </c>
      <c r="K22" s="6" t="s">
        <v>215</v>
      </c>
      <c r="L22" s="6" t="s">
        <v>49</v>
      </c>
      <c r="M22" s="6" t="s">
        <v>49</v>
      </c>
      <c r="N22" s="6" t="s">
        <v>49</v>
      </c>
      <c r="O22" s="6" t="s">
        <v>999</v>
      </c>
      <c r="P22" s="6">
        <f t="shared" si="0"/>
        <v>0</v>
      </c>
      <c r="Q22" s="6" t="s">
        <v>215</v>
      </c>
      <c r="R22" s="13"/>
      <c r="S22" s="13"/>
      <c r="T22" s="13"/>
      <c r="U22" s="13"/>
      <c r="V22" s="13"/>
      <c r="W22" s="13"/>
    </row>
    <row r="23" spans="1:23">
      <c r="A23" s="26" t="s">
        <v>1723</v>
      </c>
      <c r="B23" s="48" t="s">
        <v>1408</v>
      </c>
      <c r="C23" s="27">
        <v>2</v>
      </c>
      <c r="D23" s="27" t="s">
        <v>199</v>
      </c>
      <c r="E23" s="27">
        <v>250</v>
      </c>
      <c r="F23" s="27">
        <v>15</v>
      </c>
      <c r="G23" s="27">
        <v>25</v>
      </c>
      <c r="H23" s="27" t="s">
        <v>199</v>
      </c>
      <c r="I23" s="27">
        <v>1</v>
      </c>
      <c r="J23" s="28" t="s">
        <v>49</v>
      </c>
      <c r="K23" s="28" t="s">
        <v>215</v>
      </c>
      <c r="L23" s="28" t="s">
        <v>49</v>
      </c>
      <c r="M23" s="28" t="s">
        <v>49</v>
      </c>
      <c r="N23" s="28" t="s">
        <v>49</v>
      </c>
      <c r="O23" s="28" t="s">
        <v>999</v>
      </c>
      <c r="P23" s="28">
        <f t="shared" si="0"/>
        <v>0</v>
      </c>
      <c r="Q23" s="28" t="s">
        <v>215</v>
      </c>
      <c r="R23" s="13"/>
      <c r="S23" s="13"/>
      <c r="T23" s="13"/>
      <c r="U23" s="13"/>
      <c r="V23" s="13"/>
      <c r="W23" s="13"/>
    </row>
    <row r="24" spans="1:23">
      <c r="A24" s="1" t="s">
        <v>1007</v>
      </c>
      <c r="B24" s="1" t="s">
        <v>199</v>
      </c>
      <c r="C24" s="3">
        <v>1</v>
      </c>
      <c r="D24" s="3" t="s">
        <v>199</v>
      </c>
      <c r="E24" s="3">
        <v>687</v>
      </c>
      <c r="F24" s="3">
        <v>20</v>
      </c>
      <c r="G24" s="3">
        <v>20</v>
      </c>
      <c r="H24" s="3" t="s">
        <v>199</v>
      </c>
      <c r="I24" s="3">
        <v>1</v>
      </c>
      <c r="J24" s="4" t="s">
        <v>49</v>
      </c>
      <c r="K24" s="4" t="s">
        <v>49</v>
      </c>
      <c r="L24" s="4" t="s">
        <v>280</v>
      </c>
      <c r="M24" s="4" t="s">
        <v>49</v>
      </c>
      <c r="N24" s="4" t="s">
        <v>49</v>
      </c>
      <c r="O24" s="4" t="s">
        <v>1539</v>
      </c>
      <c r="P24" s="6">
        <f t="shared" si="0"/>
        <v>3</v>
      </c>
      <c r="Q24" s="6">
        <f t="shared" si="1"/>
        <v>0</v>
      </c>
    </row>
    <row r="25" spans="1:23">
      <c r="A25" s="26" t="s">
        <v>1007</v>
      </c>
      <c r="B25" s="26" t="s">
        <v>1411</v>
      </c>
      <c r="C25" s="27">
        <v>1</v>
      </c>
      <c r="D25" s="27" t="s">
        <v>199</v>
      </c>
      <c r="E25" s="27">
        <v>175</v>
      </c>
      <c r="F25" s="27">
        <v>15</v>
      </c>
      <c r="G25" s="27">
        <v>20</v>
      </c>
      <c r="H25" s="27" t="s">
        <v>199</v>
      </c>
      <c r="I25" s="27">
        <v>1</v>
      </c>
      <c r="J25" s="28" t="s">
        <v>49</v>
      </c>
      <c r="K25" s="28" t="s">
        <v>49</v>
      </c>
      <c r="L25" s="28" t="s">
        <v>280</v>
      </c>
      <c r="M25" s="28" t="s">
        <v>49</v>
      </c>
      <c r="N25" s="28" t="s">
        <v>49</v>
      </c>
      <c r="O25" s="28" t="s">
        <v>1540</v>
      </c>
      <c r="P25" s="28">
        <f t="shared" si="0"/>
        <v>3</v>
      </c>
      <c r="Q25" s="28">
        <f t="shared" si="1"/>
        <v>0</v>
      </c>
    </row>
    <row r="26" spans="1:23">
      <c r="A26" s="1" t="s">
        <v>993</v>
      </c>
      <c r="B26" s="1" t="s">
        <v>1405</v>
      </c>
      <c r="C26" s="3">
        <v>2</v>
      </c>
      <c r="D26" s="3" t="s">
        <v>199</v>
      </c>
      <c r="E26" s="3">
        <v>200</v>
      </c>
      <c r="F26" s="3">
        <v>20</v>
      </c>
      <c r="G26" s="3">
        <v>20</v>
      </c>
      <c r="H26" s="3" t="s">
        <v>199</v>
      </c>
      <c r="I26" s="3">
        <v>1</v>
      </c>
      <c r="J26" s="4" t="s">
        <v>994</v>
      </c>
      <c r="K26" s="4" t="s">
        <v>49</v>
      </c>
      <c r="L26" s="4" t="s">
        <v>19</v>
      </c>
      <c r="M26" s="4" t="s">
        <v>49</v>
      </c>
      <c r="N26" s="4" t="s">
        <v>49</v>
      </c>
      <c r="O26" s="4" t="s">
        <v>999</v>
      </c>
      <c r="P26" s="6">
        <f t="shared" si="0"/>
        <v>157.5</v>
      </c>
      <c r="Q26" s="6">
        <f t="shared" si="1"/>
        <v>0</v>
      </c>
    </row>
    <row r="27" spans="1:23">
      <c r="A27" s="26" t="s">
        <v>993</v>
      </c>
      <c r="B27" s="48" t="s">
        <v>1405</v>
      </c>
      <c r="C27" s="27">
        <v>3</v>
      </c>
      <c r="D27" s="27" t="s">
        <v>199</v>
      </c>
      <c r="E27" s="27">
        <v>200</v>
      </c>
      <c r="F27" s="27">
        <v>15</v>
      </c>
      <c r="G27" s="27">
        <v>20</v>
      </c>
      <c r="H27" s="27" t="s">
        <v>199</v>
      </c>
      <c r="I27" s="27">
        <v>1</v>
      </c>
      <c r="J27" s="28" t="s">
        <v>1716</v>
      </c>
      <c r="K27" s="28" t="s">
        <v>1719</v>
      </c>
      <c r="L27" s="28" t="s">
        <v>888</v>
      </c>
      <c r="M27" s="28" t="s">
        <v>49</v>
      </c>
      <c r="N27" s="28" t="s">
        <v>49</v>
      </c>
      <c r="O27" s="28" t="s">
        <v>1752</v>
      </c>
      <c r="P27" s="28">
        <f t="shared" si="0"/>
        <v>150</v>
      </c>
      <c r="Q27" s="28">
        <f t="shared" si="1"/>
        <v>55</v>
      </c>
    </row>
    <row r="28" spans="1:23">
      <c r="A28" s="1" t="s">
        <v>997</v>
      </c>
      <c r="B28" s="1" t="s">
        <v>1405</v>
      </c>
      <c r="C28" s="3">
        <v>2</v>
      </c>
      <c r="D28" s="3" t="s">
        <v>199</v>
      </c>
      <c r="E28" s="3">
        <v>20</v>
      </c>
      <c r="F28" s="3">
        <v>5</v>
      </c>
      <c r="G28" s="3">
        <v>50</v>
      </c>
      <c r="H28" s="3" t="s">
        <v>199</v>
      </c>
      <c r="I28" s="3">
        <v>1</v>
      </c>
      <c r="J28" s="4" t="s">
        <v>994</v>
      </c>
      <c r="K28" s="4" t="s">
        <v>49</v>
      </c>
      <c r="L28" s="4" t="s">
        <v>19</v>
      </c>
      <c r="M28" s="4" t="s">
        <v>49</v>
      </c>
      <c r="N28" s="4" t="s">
        <v>49</v>
      </c>
      <c r="O28" s="4" t="s">
        <v>999</v>
      </c>
      <c r="P28" s="6">
        <f t="shared" si="0"/>
        <v>157.5</v>
      </c>
      <c r="Q28" s="6">
        <f t="shared" si="1"/>
        <v>0</v>
      </c>
    </row>
    <row r="29" spans="1:23">
      <c r="A29" s="26" t="s">
        <v>997</v>
      </c>
      <c r="B29" s="48" t="s">
        <v>1405</v>
      </c>
      <c r="C29" s="27">
        <v>3</v>
      </c>
      <c r="D29" s="27" t="s">
        <v>199</v>
      </c>
      <c r="E29" s="27">
        <v>300</v>
      </c>
      <c r="F29" s="27">
        <v>25</v>
      </c>
      <c r="G29" s="27">
        <v>50</v>
      </c>
      <c r="H29" s="27" t="s">
        <v>199</v>
      </c>
      <c r="I29" s="27">
        <v>1</v>
      </c>
      <c r="J29" s="28" t="s">
        <v>1716</v>
      </c>
      <c r="K29" s="28" t="s">
        <v>1719</v>
      </c>
      <c r="L29" s="28" t="s">
        <v>888</v>
      </c>
      <c r="M29" s="28" t="s">
        <v>49</v>
      </c>
      <c r="N29" s="28" t="s">
        <v>49</v>
      </c>
      <c r="O29" s="28" t="s">
        <v>1752</v>
      </c>
      <c r="P29" s="28">
        <f t="shared" si="0"/>
        <v>150</v>
      </c>
      <c r="Q29" s="28">
        <f t="shared" si="1"/>
        <v>55</v>
      </c>
    </row>
    <row r="30" spans="1:23">
      <c r="A30" s="1" t="s">
        <v>995</v>
      </c>
      <c r="B30" s="1" t="s">
        <v>1405</v>
      </c>
      <c r="C30" s="3">
        <v>2</v>
      </c>
      <c r="D30" s="3" t="s">
        <v>199</v>
      </c>
      <c r="E30" s="3">
        <v>75</v>
      </c>
      <c r="F30" s="3">
        <v>5</v>
      </c>
      <c r="G30" s="3">
        <v>50</v>
      </c>
      <c r="H30" s="3" t="s">
        <v>199</v>
      </c>
      <c r="I30" s="3">
        <v>1</v>
      </c>
      <c r="J30" s="4" t="s">
        <v>994</v>
      </c>
      <c r="K30" s="4" t="s">
        <v>49</v>
      </c>
      <c r="L30" s="4" t="s">
        <v>19</v>
      </c>
      <c r="M30" s="4" t="s">
        <v>49</v>
      </c>
      <c r="N30" s="4" t="s">
        <v>49</v>
      </c>
      <c r="O30" s="4" t="s">
        <v>999</v>
      </c>
      <c r="P30" s="6">
        <f t="shared" si="0"/>
        <v>157.5</v>
      </c>
      <c r="Q30" s="6">
        <f t="shared" si="1"/>
        <v>0</v>
      </c>
    </row>
    <row r="31" spans="1:23">
      <c r="A31" s="26" t="s">
        <v>995</v>
      </c>
      <c r="B31" s="48" t="s">
        <v>1405</v>
      </c>
      <c r="C31" s="27">
        <v>3</v>
      </c>
      <c r="D31" s="27" t="s">
        <v>199</v>
      </c>
      <c r="E31" s="27">
        <v>250</v>
      </c>
      <c r="F31" s="27">
        <v>15</v>
      </c>
      <c r="G31" s="27">
        <v>25</v>
      </c>
      <c r="H31" s="27" t="s">
        <v>199</v>
      </c>
      <c r="I31" s="27">
        <v>1</v>
      </c>
      <c r="J31" s="28" t="s">
        <v>1717</v>
      </c>
      <c r="K31" s="28" t="s">
        <v>1718</v>
      </c>
      <c r="L31" s="28" t="s">
        <v>151</v>
      </c>
      <c r="M31" s="28" t="s">
        <v>49</v>
      </c>
      <c r="N31" s="28" t="s">
        <v>49</v>
      </c>
      <c r="O31" s="28" t="s">
        <v>1752</v>
      </c>
      <c r="P31" s="28">
        <f t="shared" si="0"/>
        <v>167.5</v>
      </c>
      <c r="Q31" s="28">
        <f t="shared" si="1"/>
        <v>62.5</v>
      </c>
    </row>
    <row r="32" spans="1:23">
      <c r="A32" s="10" t="s">
        <v>1409</v>
      </c>
      <c r="B32" s="10" t="s">
        <v>199</v>
      </c>
      <c r="C32" s="11">
        <v>2</v>
      </c>
      <c r="D32" s="11" t="s">
        <v>199</v>
      </c>
      <c r="E32" s="11">
        <v>60</v>
      </c>
      <c r="F32" s="11">
        <v>1</v>
      </c>
      <c r="G32" s="11">
        <v>2</v>
      </c>
      <c r="H32" s="11" t="s">
        <v>199</v>
      </c>
      <c r="I32" s="11">
        <v>1</v>
      </c>
      <c r="J32" s="6" t="s">
        <v>1410</v>
      </c>
      <c r="K32" s="6" t="s">
        <v>49</v>
      </c>
      <c r="L32" s="6" t="s">
        <v>49</v>
      </c>
      <c r="M32" s="6" t="s">
        <v>49</v>
      </c>
      <c r="N32" s="6" t="s">
        <v>49</v>
      </c>
      <c r="O32" s="6" t="s">
        <v>1882</v>
      </c>
      <c r="P32" s="6">
        <f t="shared" si="0"/>
        <v>55</v>
      </c>
      <c r="Q32" s="6">
        <f t="shared" si="1"/>
        <v>0</v>
      </c>
      <c r="R32" s="13"/>
      <c r="S32" s="13"/>
      <c r="T32" s="23"/>
      <c r="U32" s="23"/>
      <c r="V32" s="13"/>
      <c r="W32" s="13"/>
    </row>
    <row r="33" spans="1:23">
      <c r="A33" s="26" t="s">
        <v>1409</v>
      </c>
      <c r="B33" s="26" t="s">
        <v>1721</v>
      </c>
      <c r="C33" s="27">
        <v>2</v>
      </c>
      <c r="D33" s="27" t="s">
        <v>199</v>
      </c>
      <c r="E33" s="27">
        <v>120</v>
      </c>
      <c r="F33" s="27">
        <v>5</v>
      </c>
      <c r="G33" s="27">
        <v>10</v>
      </c>
      <c r="H33" s="27" t="s">
        <v>199</v>
      </c>
      <c r="I33" s="27">
        <v>1</v>
      </c>
      <c r="J33" s="28" t="s">
        <v>1722</v>
      </c>
      <c r="K33" s="28" t="s">
        <v>49</v>
      </c>
      <c r="L33" s="28" t="s">
        <v>49</v>
      </c>
      <c r="M33" s="28" t="s">
        <v>49</v>
      </c>
      <c r="N33" s="28" t="s">
        <v>49</v>
      </c>
      <c r="O33" s="28" t="s">
        <v>1882</v>
      </c>
      <c r="P33" s="28">
        <f t="shared" si="0"/>
        <v>52.5</v>
      </c>
      <c r="Q33" s="28">
        <f t="shared" si="1"/>
        <v>0</v>
      </c>
      <c r="R33" s="13"/>
      <c r="S33" s="13"/>
      <c r="T33" s="23"/>
      <c r="U33" s="23"/>
      <c r="V33" s="13"/>
      <c r="W33" s="13"/>
    </row>
    <row r="34" spans="1:23">
      <c r="A34" s="10" t="s">
        <v>1273</v>
      </c>
      <c r="B34" s="10" t="s">
        <v>1406</v>
      </c>
      <c r="C34" s="11" t="s">
        <v>199</v>
      </c>
      <c r="D34" s="11" t="s">
        <v>1218</v>
      </c>
      <c r="E34" s="11">
        <v>20</v>
      </c>
      <c r="F34" s="11">
        <v>40</v>
      </c>
      <c r="G34" s="11">
        <v>15</v>
      </c>
      <c r="H34" s="11">
        <v>15</v>
      </c>
      <c r="I34" s="11">
        <v>10</v>
      </c>
      <c r="J34" s="6" t="s">
        <v>20</v>
      </c>
      <c r="K34" s="6" t="s">
        <v>307</v>
      </c>
      <c r="L34" s="6" t="s">
        <v>49</v>
      </c>
      <c r="M34" s="6" t="s">
        <v>49</v>
      </c>
      <c r="N34" s="6" t="s">
        <v>49</v>
      </c>
      <c r="O34" s="6" t="s">
        <v>1312</v>
      </c>
      <c r="P34" s="6">
        <f t="shared" si="0"/>
        <v>25</v>
      </c>
      <c r="Q34" s="6">
        <f t="shared" si="1"/>
        <v>15</v>
      </c>
      <c r="R34" s="13"/>
      <c r="S34" s="13"/>
      <c r="T34" s="23"/>
      <c r="U34" s="23"/>
      <c r="V34" s="13"/>
      <c r="W34" s="13"/>
    </row>
    <row r="35" spans="1:23">
      <c r="A35" s="26" t="s">
        <v>1273</v>
      </c>
      <c r="B35" s="26" t="s">
        <v>1406</v>
      </c>
      <c r="C35" s="27" t="s">
        <v>199</v>
      </c>
      <c r="D35" s="27" t="s">
        <v>1218</v>
      </c>
      <c r="E35" s="27">
        <v>20</v>
      </c>
      <c r="F35" s="27">
        <v>45</v>
      </c>
      <c r="G35" s="27">
        <v>15</v>
      </c>
      <c r="H35" s="27">
        <v>20</v>
      </c>
      <c r="I35" s="27">
        <v>10</v>
      </c>
      <c r="J35" s="28" t="s">
        <v>69</v>
      </c>
      <c r="K35" s="28" t="s">
        <v>307</v>
      </c>
      <c r="L35" s="28" t="s">
        <v>49</v>
      </c>
      <c r="M35" s="28" t="s">
        <v>49</v>
      </c>
      <c r="N35" s="28" t="s">
        <v>49</v>
      </c>
      <c r="O35" s="28"/>
      <c r="P35" s="28">
        <f t="shared" si="0"/>
        <v>35</v>
      </c>
      <c r="Q35" s="28">
        <f t="shared" si="1"/>
        <v>15</v>
      </c>
      <c r="R35" s="13"/>
      <c r="S35" s="13"/>
      <c r="T35" s="23"/>
      <c r="U35" s="23"/>
      <c r="V35" s="13"/>
      <c r="W35" s="13"/>
    </row>
    <row r="36" spans="1:23">
      <c r="A36" s="10" t="s">
        <v>893</v>
      </c>
      <c r="B36" s="10" t="s">
        <v>199</v>
      </c>
      <c r="C36" s="11" t="s">
        <v>199</v>
      </c>
      <c r="D36" s="11" t="s">
        <v>1222</v>
      </c>
      <c r="E36" s="11">
        <v>80</v>
      </c>
      <c r="F36" s="11">
        <v>60</v>
      </c>
      <c r="G36" s="11">
        <v>20</v>
      </c>
      <c r="H36" s="11">
        <v>20</v>
      </c>
      <c r="I36" s="11">
        <v>12</v>
      </c>
      <c r="J36" s="6" t="s">
        <v>17</v>
      </c>
      <c r="K36" s="6" t="s">
        <v>49</v>
      </c>
      <c r="L36" s="6" t="s">
        <v>49</v>
      </c>
      <c r="M36" s="6" t="s">
        <v>49</v>
      </c>
      <c r="N36" s="6" t="s">
        <v>49</v>
      </c>
      <c r="O36" s="6"/>
      <c r="P36" s="6">
        <f t="shared" si="0"/>
        <v>42</v>
      </c>
      <c r="Q36" s="6">
        <f t="shared" si="1"/>
        <v>0</v>
      </c>
      <c r="R36" s="13"/>
      <c r="S36" s="13"/>
      <c r="T36" s="23"/>
      <c r="U36" s="23"/>
      <c r="V36" s="13"/>
      <c r="W36" s="13"/>
    </row>
    <row r="37" spans="1:23">
      <c r="A37" s="26" t="s">
        <v>893</v>
      </c>
      <c r="B37" s="26" t="s">
        <v>199</v>
      </c>
      <c r="C37" s="27" t="s">
        <v>199</v>
      </c>
      <c r="D37" s="27" t="s">
        <v>1225</v>
      </c>
      <c r="E37" s="27">
        <v>80</v>
      </c>
      <c r="F37" s="27">
        <v>50</v>
      </c>
      <c r="G37" s="27">
        <v>25</v>
      </c>
      <c r="H37" s="27">
        <v>20</v>
      </c>
      <c r="I37" s="27">
        <v>13</v>
      </c>
      <c r="J37" s="28" t="s">
        <v>17</v>
      </c>
      <c r="K37" s="28" t="s">
        <v>307</v>
      </c>
      <c r="L37" s="28" t="s">
        <v>49</v>
      </c>
      <c r="M37" s="28" t="s">
        <v>49</v>
      </c>
      <c r="N37" s="28" t="s">
        <v>49</v>
      </c>
      <c r="O37" s="28"/>
      <c r="P37" s="28">
        <f t="shared" si="0"/>
        <v>45.5</v>
      </c>
      <c r="Q37" s="28">
        <f t="shared" si="1"/>
        <v>19.5</v>
      </c>
      <c r="R37" s="13"/>
      <c r="S37" s="13"/>
      <c r="T37" s="23"/>
      <c r="U37" s="23"/>
      <c r="V37" s="13"/>
      <c r="W37" s="13"/>
    </row>
    <row r="38" spans="1:23">
      <c r="A38" s="10" t="s">
        <v>895</v>
      </c>
      <c r="B38" s="10" t="s">
        <v>199</v>
      </c>
      <c r="C38" s="11" t="s">
        <v>199</v>
      </c>
      <c r="D38" s="11" t="s">
        <v>1222</v>
      </c>
      <c r="E38" s="11">
        <v>100</v>
      </c>
      <c r="F38" s="11">
        <v>80</v>
      </c>
      <c r="G38" s="11">
        <v>60</v>
      </c>
      <c r="H38" s="11">
        <v>20</v>
      </c>
      <c r="I38" s="11">
        <v>12</v>
      </c>
      <c r="J38" s="6" t="s">
        <v>29</v>
      </c>
      <c r="K38" s="6" t="s">
        <v>307</v>
      </c>
      <c r="L38" s="6" t="s">
        <v>49</v>
      </c>
      <c r="M38" s="6" t="s">
        <v>49</v>
      </c>
      <c r="N38" s="6" t="s">
        <v>49</v>
      </c>
      <c r="O38" s="6"/>
      <c r="P38" s="6">
        <f t="shared" si="0"/>
        <v>54</v>
      </c>
      <c r="Q38" s="6">
        <f t="shared" si="1"/>
        <v>18</v>
      </c>
      <c r="R38" s="13"/>
      <c r="S38" s="13"/>
      <c r="T38" s="13"/>
      <c r="U38" s="13"/>
      <c r="V38" s="13"/>
      <c r="W38" s="13"/>
    </row>
    <row r="39" spans="1:23">
      <c r="A39" s="26" t="s">
        <v>895</v>
      </c>
      <c r="B39" s="26" t="s">
        <v>199</v>
      </c>
      <c r="C39" s="27" t="s">
        <v>199</v>
      </c>
      <c r="D39" s="27" t="s">
        <v>1225</v>
      </c>
      <c r="E39" s="27">
        <v>110</v>
      </c>
      <c r="F39" s="27">
        <v>60</v>
      </c>
      <c r="G39" s="27">
        <v>30</v>
      </c>
      <c r="H39" s="27">
        <v>20</v>
      </c>
      <c r="I39" s="27">
        <v>14</v>
      </c>
      <c r="J39" s="28" t="s">
        <v>29</v>
      </c>
      <c r="K39" s="28" t="s">
        <v>18</v>
      </c>
      <c r="L39" s="28" t="s">
        <v>49</v>
      </c>
      <c r="M39" s="28" t="s">
        <v>49</v>
      </c>
      <c r="N39" s="28" t="s">
        <v>49</v>
      </c>
      <c r="O39" s="28"/>
      <c r="P39" s="28">
        <f t="shared" si="0"/>
        <v>63</v>
      </c>
      <c r="Q39" s="28">
        <f t="shared" si="1"/>
        <v>28</v>
      </c>
      <c r="R39" s="13"/>
      <c r="S39" s="13"/>
      <c r="T39" s="13"/>
      <c r="U39" s="13"/>
      <c r="V39" s="13"/>
      <c r="W39" s="13"/>
    </row>
    <row r="40" spans="1:23">
      <c r="A40" s="10" t="s">
        <v>894</v>
      </c>
      <c r="B40" s="10" t="s">
        <v>199</v>
      </c>
      <c r="C40" s="11" t="s">
        <v>199</v>
      </c>
      <c r="D40" s="11" t="s">
        <v>1222</v>
      </c>
      <c r="E40" s="11">
        <v>107</v>
      </c>
      <c r="F40" s="11">
        <v>80</v>
      </c>
      <c r="G40" s="11">
        <v>50</v>
      </c>
      <c r="H40" s="11">
        <v>20</v>
      </c>
      <c r="I40" s="11">
        <v>14</v>
      </c>
      <c r="J40" s="6" t="s">
        <v>68</v>
      </c>
      <c r="K40" s="6" t="s">
        <v>18</v>
      </c>
      <c r="L40" s="6" t="s">
        <v>49</v>
      </c>
      <c r="M40" s="6" t="s">
        <v>49</v>
      </c>
      <c r="N40" s="6" t="s">
        <v>49</v>
      </c>
      <c r="O40" s="6"/>
      <c r="P40" s="6">
        <f t="shared" si="0"/>
        <v>77</v>
      </c>
      <c r="Q40" s="6">
        <f t="shared" si="1"/>
        <v>28</v>
      </c>
      <c r="R40" s="13"/>
      <c r="S40" s="13"/>
      <c r="T40" s="13"/>
      <c r="U40" s="13"/>
      <c r="V40" s="13"/>
      <c r="W40" s="13"/>
    </row>
    <row r="41" spans="1:23">
      <c r="A41" s="26" t="s">
        <v>894</v>
      </c>
      <c r="B41" s="26" t="s">
        <v>199</v>
      </c>
      <c r="C41" s="27" t="s">
        <v>199</v>
      </c>
      <c r="D41" s="27" t="s">
        <v>1220</v>
      </c>
      <c r="E41" s="27">
        <v>150</v>
      </c>
      <c r="F41" s="27">
        <v>70</v>
      </c>
      <c r="G41" s="27">
        <v>35</v>
      </c>
      <c r="H41" s="27">
        <v>20</v>
      </c>
      <c r="I41" s="27">
        <v>16</v>
      </c>
      <c r="J41" s="28" t="s">
        <v>68</v>
      </c>
      <c r="K41" s="28" t="s">
        <v>20</v>
      </c>
      <c r="L41" s="28" t="s">
        <v>49</v>
      </c>
      <c r="M41" s="28" t="s">
        <v>49</v>
      </c>
      <c r="N41" s="28" t="s">
        <v>49</v>
      </c>
      <c r="O41" s="28"/>
      <c r="P41" s="28">
        <f t="shared" si="0"/>
        <v>88</v>
      </c>
      <c r="Q41" s="28">
        <f t="shared" si="1"/>
        <v>40</v>
      </c>
      <c r="R41" s="13"/>
      <c r="S41" s="13"/>
      <c r="T41" s="13"/>
      <c r="U41" s="13"/>
      <c r="V41" s="13"/>
      <c r="W41" s="13"/>
    </row>
    <row r="42" spans="1:23">
      <c r="A42" s="48" t="s">
        <v>899</v>
      </c>
      <c r="B42" s="48" t="s">
        <v>199</v>
      </c>
      <c r="C42" s="50" t="s">
        <v>199</v>
      </c>
      <c r="D42" s="50" t="s">
        <v>1222</v>
      </c>
      <c r="E42" s="50">
        <v>251</v>
      </c>
      <c r="F42" s="50">
        <v>80</v>
      </c>
      <c r="G42" s="50">
        <v>50</v>
      </c>
      <c r="H42" s="50">
        <v>20</v>
      </c>
      <c r="I42" s="50">
        <v>14</v>
      </c>
      <c r="J42" s="49" t="s">
        <v>68</v>
      </c>
      <c r="K42" s="49" t="s">
        <v>18</v>
      </c>
      <c r="L42" s="49" t="s">
        <v>49</v>
      </c>
      <c r="M42" s="49" t="s">
        <v>55</v>
      </c>
      <c r="N42" s="49" t="s">
        <v>49</v>
      </c>
      <c r="O42" s="49"/>
      <c r="P42" s="49">
        <f t="shared" si="0"/>
        <v>217</v>
      </c>
      <c r="Q42" s="49">
        <f t="shared" si="1"/>
        <v>28</v>
      </c>
      <c r="R42" s="13"/>
      <c r="S42" s="13"/>
      <c r="T42" s="13"/>
      <c r="U42" s="13"/>
      <c r="V42" s="13"/>
      <c r="W42" s="13"/>
    </row>
    <row r="43" spans="1:23">
      <c r="A43" s="26" t="s">
        <v>899</v>
      </c>
      <c r="B43" s="26" t="s">
        <v>199</v>
      </c>
      <c r="C43" s="27" t="s">
        <v>199</v>
      </c>
      <c r="D43" s="50" t="s">
        <v>2349</v>
      </c>
      <c r="E43" s="27">
        <v>303</v>
      </c>
      <c r="F43" s="27">
        <v>70</v>
      </c>
      <c r="G43" s="27">
        <v>40</v>
      </c>
      <c r="H43" s="27">
        <v>20</v>
      </c>
      <c r="I43" s="27">
        <v>15</v>
      </c>
      <c r="J43" s="28" t="s">
        <v>68</v>
      </c>
      <c r="K43" s="28" t="s">
        <v>100</v>
      </c>
      <c r="L43" s="28" t="s">
        <v>49</v>
      </c>
      <c r="M43" s="28" t="s">
        <v>19</v>
      </c>
      <c r="N43" s="28" t="s">
        <v>49</v>
      </c>
      <c r="O43" s="28" t="s">
        <v>1262</v>
      </c>
      <c r="P43" s="28">
        <f t="shared" si="0"/>
        <v>195</v>
      </c>
      <c r="Q43" s="28">
        <f t="shared" si="1"/>
        <v>45</v>
      </c>
      <c r="R43" s="13"/>
      <c r="S43" s="13"/>
      <c r="T43" s="13"/>
      <c r="U43" s="13"/>
      <c r="V43" s="13"/>
      <c r="W43" s="13"/>
    </row>
    <row r="44" spans="1:23">
      <c r="A44" s="10" t="s">
        <v>896</v>
      </c>
      <c r="B44" s="10" t="s">
        <v>199</v>
      </c>
      <c r="C44" s="11" t="s">
        <v>199</v>
      </c>
      <c r="D44" s="11" t="s">
        <v>1222</v>
      </c>
      <c r="E44" s="11">
        <v>120</v>
      </c>
      <c r="F44" s="11">
        <v>100</v>
      </c>
      <c r="G44" s="11">
        <v>70</v>
      </c>
      <c r="H44" s="11">
        <v>20</v>
      </c>
      <c r="I44" s="11">
        <v>12</v>
      </c>
      <c r="J44" s="6" t="s">
        <v>68</v>
      </c>
      <c r="K44" s="6" t="s">
        <v>18</v>
      </c>
      <c r="L44" s="6" t="s">
        <v>49</v>
      </c>
      <c r="M44" s="6" t="s">
        <v>49</v>
      </c>
      <c r="N44" s="6" t="s">
        <v>49</v>
      </c>
      <c r="O44" s="6"/>
      <c r="P44" s="6">
        <f t="shared" si="0"/>
        <v>66</v>
      </c>
      <c r="Q44" s="6">
        <f t="shared" si="1"/>
        <v>24</v>
      </c>
      <c r="R44" s="13"/>
      <c r="S44" s="13"/>
      <c r="T44" s="13"/>
      <c r="U44" s="13"/>
      <c r="V44" s="13"/>
      <c r="W44" s="13"/>
    </row>
    <row r="45" spans="1:23">
      <c r="A45" s="26" t="s">
        <v>896</v>
      </c>
      <c r="B45" s="26" t="s">
        <v>199</v>
      </c>
      <c r="C45" s="27" t="s">
        <v>199</v>
      </c>
      <c r="D45" s="27" t="s">
        <v>1222</v>
      </c>
      <c r="E45" s="27">
        <v>125</v>
      </c>
      <c r="F45" s="27">
        <v>100</v>
      </c>
      <c r="G45" s="27">
        <v>50</v>
      </c>
      <c r="H45" s="27">
        <v>15</v>
      </c>
      <c r="I45" s="27">
        <v>12</v>
      </c>
      <c r="J45" s="28" t="s">
        <v>62</v>
      </c>
      <c r="K45" s="28" t="s">
        <v>193</v>
      </c>
      <c r="L45" s="28" t="s">
        <v>49</v>
      </c>
      <c r="M45" s="28" t="s">
        <v>49</v>
      </c>
      <c r="N45" s="28" t="s">
        <v>49</v>
      </c>
      <c r="O45" s="28"/>
      <c r="P45" s="28">
        <f t="shared" si="0"/>
        <v>72</v>
      </c>
      <c r="Q45" s="28">
        <f t="shared" si="1"/>
        <v>48</v>
      </c>
      <c r="R45" s="13"/>
      <c r="S45" s="13"/>
      <c r="T45" s="13"/>
      <c r="U45" s="13"/>
      <c r="V45" s="13"/>
      <c r="W45" s="13"/>
    </row>
    <row r="46" spans="1:23">
      <c r="A46" s="10" t="s">
        <v>897</v>
      </c>
      <c r="B46" s="10" t="s">
        <v>199</v>
      </c>
      <c r="C46" s="11" t="s">
        <v>199</v>
      </c>
      <c r="D46" s="11" t="s">
        <v>1222</v>
      </c>
      <c r="E46" s="11">
        <v>580</v>
      </c>
      <c r="F46" s="11">
        <v>100</v>
      </c>
      <c r="G46" s="11">
        <v>80</v>
      </c>
      <c r="H46" s="11">
        <v>20</v>
      </c>
      <c r="I46" s="11">
        <v>12</v>
      </c>
      <c r="J46" s="6" t="s">
        <v>1772</v>
      </c>
      <c r="K46" s="6" t="s">
        <v>18</v>
      </c>
      <c r="L46" s="6" t="s">
        <v>49</v>
      </c>
      <c r="M46" s="6" t="s">
        <v>49</v>
      </c>
      <c r="N46" s="6" t="s">
        <v>49</v>
      </c>
      <c r="O46" s="6"/>
      <c r="P46" s="6">
        <f t="shared" si="0"/>
        <v>126</v>
      </c>
      <c r="Q46" s="6">
        <f t="shared" si="1"/>
        <v>24</v>
      </c>
      <c r="R46" s="13"/>
      <c r="S46" s="13"/>
      <c r="T46" s="13"/>
      <c r="U46" s="13"/>
      <c r="V46" s="13"/>
      <c r="W46" s="13"/>
    </row>
    <row r="47" spans="1:23">
      <c r="A47" s="26" t="s">
        <v>900</v>
      </c>
      <c r="B47" s="26" t="s">
        <v>199</v>
      </c>
      <c r="C47" s="27" t="s">
        <v>199</v>
      </c>
      <c r="D47" s="27" t="s">
        <v>1222</v>
      </c>
      <c r="E47" s="27">
        <v>425</v>
      </c>
      <c r="F47" s="27" t="s">
        <v>2227</v>
      </c>
      <c r="G47" s="27">
        <v>50</v>
      </c>
      <c r="H47" s="27">
        <v>15</v>
      </c>
      <c r="I47" s="27">
        <v>12</v>
      </c>
      <c r="J47" s="28" t="s">
        <v>1773</v>
      </c>
      <c r="K47" s="28" t="s">
        <v>193</v>
      </c>
      <c r="L47" s="28" t="s">
        <v>49</v>
      </c>
      <c r="M47" s="28" t="s">
        <v>49</v>
      </c>
      <c r="N47" s="28" t="s">
        <v>49</v>
      </c>
      <c r="O47" s="28" t="s">
        <v>1349</v>
      </c>
      <c r="P47" s="28">
        <f t="shared" si="0"/>
        <v>132</v>
      </c>
      <c r="Q47" s="28">
        <f t="shared" si="1"/>
        <v>48</v>
      </c>
      <c r="R47" s="6"/>
      <c r="S47" s="13"/>
      <c r="T47" s="13"/>
      <c r="U47" s="13"/>
      <c r="V47" s="13"/>
      <c r="W47" s="13"/>
    </row>
    <row r="48" spans="1:23">
      <c r="A48" s="10" t="s">
        <v>898</v>
      </c>
      <c r="B48" s="10" t="s">
        <v>199</v>
      </c>
      <c r="C48" s="11" t="s">
        <v>199</v>
      </c>
      <c r="D48" s="11" t="s">
        <v>1222</v>
      </c>
      <c r="E48" s="11">
        <v>850</v>
      </c>
      <c r="F48" s="11">
        <v>120</v>
      </c>
      <c r="G48" s="11">
        <v>90</v>
      </c>
      <c r="H48" s="11">
        <v>20</v>
      </c>
      <c r="I48" s="11">
        <v>14</v>
      </c>
      <c r="J48" s="6" t="s">
        <v>1774</v>
      </c>
      <c r="K48" s="6" t="s">
        <v>18</v>
      </c>
      <c r="L48" s="6" t="s">
        <v>49</v>
      </c>
      <c r="M48" s="6" t="s">
        <v>49</v>
      </c>
      <c r="N48" s="6" t="s">
        <v>49</v>
      </c>
      <c r="O48" s="6"/>
      <c r="P48" s="6">
        <f t="shared" si="0"/>
        <v>175</v>
      </c>
      <c r="Q48" s="6">
        <f t="shared" si="1"/>
        <v>28</v>
      </c>
      <c r="R48" s="13"/>
      <c r="S48" s="13"/>
      <c r="T48" s="13"/>
      <c r="U48" s="13"/>
      <c r="V48" s="13"/>
      <c r="W48" s="13"/>
    </row>
    <row r="49" spans="1:23">
      <c r="A49" s="26" t="s">
        <v>901</v>
      </c>
      <c r="B49" s="26" t="s">
        <v>199</v>
      </c>
      <c r="C49" s="27" t="s">
        <v>199</v>
      </c>
      <c r="D49" s="27" t="s">
        <v>1222</v>
      </c>
      <c r="E49" s="27">
        <v>925</v>
      </c>
      <c r="F49" s="27" t="s">
        <v>2228</v>
      </c>
      <c r="G49" s="27">
        <v>50</v>
      </c>
      <c r="H49" s="27">
        <v>15</v>
      </c>
      <c r="I49" s="27">
        <v>12</v>
      </c>
      <c r="J49" s="28" t="s">
        <v>1775</v>
      </c>
      <c r="K49" s="28" t="s">
        <v>193</v>
      </c>
      <c r="L49" s="28" t="s">
        <v>49</v>
      </c>
      <c r="M49" s="28" t="s">
        <v>49</v>
      </c>
      <c r="N49" s="28" t="s">
        <v>49</v>
      </c>
      <c r="O49" s="28" t="s">
        <v>1344</v>
      </c>
      <c r="P49" s="28">
        <f t="shared" si="0"/>
        <v>192</v>
      </c>
      <c r="Q49" s="28">
        <f t="shared" si="1"/>
        <v>48</v>
      </c>
      <c r="R49" s="6"/>
      <c r="S49" s="13"/>
      <c r="T49" s="13"/>
      <c r="U49" s="13"/>
      <c r="V49" s="13"/>
      <c r="W49" s="13"/>
    </row>
    <row r="50" spans="1:23">
      <c r="A50" s="40" t="s">
        <v>898</v>
      </c>
      <c r="B50" s="40" t="s">
        <v>199</v>
      </c>
      <c r="C50" s="42" t="s">
        <v>199</v>
      </c>
      <c r="D50" s="42" t="s">
        <v>1222</v>
      </c>
      <c r="E50" s="42">
        <v>1625</v>
      </c>
      <c r="F50" s="42" t="s">
        <v>2229</v>
      </c>
      <c r="G50" s="42">
        <v>50</v>
      </c>
      <c r="H50" s="42">
        <v>15</v>
      </c>
      <c r="I50" s="42">
        <v>12</v>
      </c>
      <c r="J50" s="39" t="s">
        <v>1776</v>
      </c>
      <c r="K50" s="39" t="s">
        <v>193</v>
      </c>
      <c r="L50" s="39" t="s">
        <v>49</v>
      </c>
      <c r="M50" s="39" t="s">
        <v>49</v>
      </c>
      <c r="N50" s="39" t="s">
        <v>49</v>
      </c>
      <c r="O50" s="39" t="s">
        <v>1348</v>
      </c>
      <c r="P50" s="39">
        <f t="shared" si="0"/>
        <v>252</v>
      </c>
      <c r="Q50" s="39">
        <f t="shared" si="1"/>
        <v>48</v>
      </c>
      <c r="R50" s="6"/>
      <c r="S50" s="13"/>
      <c r="T50" s="13"/>
      <c r="U50" s="13"/>
      <c r="V50" s="13"/>
      <c r="W50" s="13"/>
    </row>
    <row r="51" spans="1:23">
      <c r="A51" s="40" t="s">
        <v>2288</v>
      </c>
      <c r="B51" s="40" t="s">
        <v>199</v>
      </c>
      <c r="C51" s="42" t="s">
        <v>199</v>
      </c>
      <c r="D51" s="42" t="s">
        <v>1222</v>
      </c>
      <c r="E51" s="42">
        <v>2525</v>
      </c>
      <c r="F51" s="42" t="s">
        <v>2230</v>
      </c>
      <c r="G51" s="42">
        <v>50</v>
      </c>
      <c r="H51" s="42">
        <v>15</v>
      </c>
      <c r="I51" s="42">
        <v>12</v>
      </c>
      <c r="J51" s="39" t="s">
        <v>1777</v>
      </c>
      <c r="K51" s="39" t="s">
        <v>193</v>
      </c>
      <c r="L51" s="39" t="s">
        <v>49</v>
      </c>
      <c r="M51" s="39" t="s">
        <v>49</v>
      </c>
      <c r="N51" s="39" t="s">
        <v>49</v>
      </c>
      <c r="O51" s="39" t="s">
        <v>1347</v>
      </c>
      <c r="P51" s="39">
        <f t="shared" si="0"/>
        <v>312</v>
      </c>
      <c r="Q51" s="39">
        <f t="shared" si="1"/>
        <v>48</v>
      </c>
      <c r="R51" s="6"/>
      <c r="S51" s="13"/>
      <c r="T51" s="13"/>
      <c r="U51" s="13"/>
      <c r="V51" s="13"/>
      <c r="W51" s="13"/>
    </row>
    <row r="52" spans="1:23">
      <c r="A52" s="10" t="s">
        <v>891</v>
      </c>
      <c r="B52" s="10" t="s">
        <v>199</v>
      </c>
      <c r="C52" s="11" t="s">
        <v>199</v>
      </c>
      <c r="D52" s="11" t="s">
        <v>1222</v>
      </c>
      <c r="E52" s="11">
        <v>1887</v>
      </c>
      <c r="F52" s="11">
        <v>200</v>
      </c>
      <c r="G52" s="11">
        <v>50</v>
      </c>
      <c r="H52" s="11">
        <v>20</v>
      </c>
      <c r="I52" s="11">
        <v>16</v>
      </c>
      <c r="J52" s="6" t="s">
        <v>1778</v>
      </c>
      <c r="K52" s="6" t="s">
        <v>18</v>
      </c>
      <c r="L52" s="6" t="s">
        <v>49</v>
      </c>
      <c r="M52" s="6" t="s">
        <v>49</v>
      </c>
      <c r="N52" s="6" t="s">
        <v>49</v>
      </c>
      <c r="O52" s="6" t="s">
        <v>1346</v>
      </c>
      <c r="P52" s="6">
        <f t="shared" si="0"/>
        <v>408</v>
      </c>
      <c r="Q52" s="6">
        <f t="shared" si="1"/>
        <v>32</v>
      </c>
      <c r="R52" s="13"/>
      <c r="S52" s="13"/>
      <c r="T52" s="13"/>
      <c r="U52" s="13"/>
      <c r="V52" s="13"/>
      <c r="W52" s="13"/>
    </row>
    <row r="53" spans="1:23">
      <c r="A53" s="26" t="s">
        <v>891</v>
      </c>
      <c r="B53" s="26" t="s">
        <v>199</v>
      </c>
      <c r="C53" s="27" t="s">
        <v>199</v>
      </c>
      <c r="D53" s="27" t="s">
        <v>1222</v>
      </c>
      <c r="E53" s="27">
        <v>3333</v>
      </c>
      <c r="F53" s="27" t="s">
        <v>2256</v>
      </c>
      <c r="G53" s="27">
        <v>50</v>
      </c>
      <c r="H53" s="27">
        <v>15</v>
      </c>
      <c r="I53" s="27" t="s">
        <v>491</v>
      </c>
      <c r="J53" s="28" t="s">
        <v>1777</v>
      </c>
      <c r="K53" s="28" t="s">
        <v>193</v>
      </c>
      <c r="L53" s="28" t="s">
        <v>49</v>
      </c>
      <c r="M53" s="28" t="s">
        <v>49</v>
      </c>
      <c r="N53" s="28" t="s">
        <v>49</v>
      </c>
      <c r="O53" s="28" t="s">
        <v>1865</v>
      </c>
      <c r="P53" s="28">
        <f t="shared" si="0"/>
        <v>416</v>
      </c>
      <c r="Q53" s="28">
        <f t="shared" si="1"/>
        <v>64</v>
      </c>
      <c r="R53" s="12"/>
      <c r="S53" s="13"/>
      <c r="T53" s="13"/>
      <c r="U53" s="13"/>
      <c r="V53" s="13"/>
      <c r="W53" s="13"/>
    </row>
    <row r="54" spans="1:23">
      <c r="A54" s="10" t="s">
        <v>892</v>
      </c>
      <c r="B54" s="10" t="s">
        <v>199</v>
      </c>
      <c r="C54" s="11" t="s">
        <v>199</v>
      </c>
      <c r="D54" s="11" t="s">
        <v>1222</v>
      </c>
      <c r="E54" s="11">
        <v>3</v>
      </c>
      <c r="F54" s="11">
        <v>1000</v>
      </c>
      <c r="G54" s="11">
        <v>150</v>
      </c>
      <c r="H54" s="11">
        <v>8</v>
      </c>
      <c r="I54" s="11">
        <v>12</v>
      </c>
      <c r="J54" s="6" t="s">
        <v>51</v>
      </c>
      <c r="K54" s="6" t="s">
        <v>49</v>
      </c>
      <c r="L54" s="6" t="s">
        <v>49</v>
      </c>
      <c r="M54" s="6" t="s">
        <v>49</v>
      </c>
      <c r="N54" s="6" t="s">
        <v>49</v>
      </c>
      <c r="O54" s="6"/>
      <c r="P54" s="6">
        <f t="shared" si="0"/>
        <v>360</v>
      </c>
      <c r="Q54" s="6">
        <f t="shared" si="1"/>
        <v>0</v>
      </c>
      <c r="R54" s="13"/>
      <c r="S54" s="13"/>
      <c r="T54" s="13"/>
      <c r="U54" s="13"/>
      <c r="V54" s="13"/>
      <c r="W54" s="13"/>
    </row>
    <row r="55" spans="1:23">
      <c r="A55" s="26" t="s">
        <v>892</v>
      </c>
      <c r="B55" s="26" t="s">
        <v>199</v>
      </c>
      <c r="C55" s="27" t="s">
        <v>199</v>
      </c>
      <c r="D55" s="27" t="s">
        <v>1224</v>
      </c>
      <c r="E55" s="27">
        <v>3003</v>
      </c>
      <c r="F55" s="27">
        <v>300</v>
      </c>
      <c r="G55" s="27">
        <v>100</v>
      </c>
      <c r="H55" s="27">
        <v>10</v>
      </c>
      <c r="I55" s="27">
        <v>11</v>
      </c>
      <c r="J55" s="28" t="s">
        <v>930</v>
      </c>
      <c r="K55" s="28" t="s">
        <v>56</v>
      </c>
      <c r="L55" s="28" t="s">
        <v>49</v>
      </c>
      <c r="M55" s="28" t="s">
        <v>49</v>
      </c>
      <c r="N55" s="28" t="s">
        <v>49</v>
      </c>
      <c r="O55" s="28" t="s">
        <v>921</v>
      </c>
      <c r="P55" s="28">
        <f t="shared" si="0"/>
        <v>385</v>
      </c>
      <c r="Q55" s="28">
        <f t="shared" si="1"/>
        <v>137.5</v>
      </c>
      <c r="R55" s="13"/>
      <c r="S55" s="13"/>
      <c r="T55" s="13"/>
      <c r="U55" s="13"/>
      <c r="V55" s="13"/>
      <c r="W55" s="13"/>
    </row>
    <row r="56" spans="1:23">
      <c r="A56" s="10"/>
      <c r="B56" s="10"/>
      <c r="C56" s="11"/>
      <c r="D56" s="11"/>
      <c r="E56" s="11"/>
      <c r="F56" s="11"/>
      <c r="G56" s="11"/>
      <c r="H56" s="11"/>
      <c r="I56" s="11"/>
      <c r="J56" s="6"/>
      <c r="K56" s="6"/>
      <c r="L56" s="6"/>
      <c r="M56" s="6"/>
      <c r="N56" s="6"/>
      <c r="O56" s="6"/>
      <c r="P56" s="6"/>
      <c r="Q56" s="12"/>
      <c r="R56" s="13"/>
      <c r="S56" s="13"/>
      <c r="T56" s="13"/>
      <c r="U56" s="13"/>
      <c r="V56" s="13"/>
      <c r="W56" s="13"/>
    </row>
    <row r="57" spans="1:23">
      <c r="A57" s="10"/>
      <c r="B57" s="10"/>
      <c r="C57" s="11"/>
      <c r="D57" s="11"/>
      <c r="E57" s="11"/>
      <c r="F57" s="11"/>
      <c r="G57" s="11"/>
      <c r="H57" s="11"/>
      <c r="I57" s="11"/>
      <c r="J57" s="6"/>
      <c r="K57" s="6"/>
      <c r="L57" s="6"/>
      <c r="M57" s="6"/>
      <c r="N57" s="6"/>
      <c r="O57" s="6"/>
      <c r="P57" s="6"/>
      <c r="Q57" s="12"/>
      <c r="R57" s="13"/>
      <c r="S57" s="13"/>
      <c r="T57" s="13"/>
      <c r="U57" s="13"/>
      <c r="V57" s="13"/>
      <c r="W57" s="13"/>
    </row>
    <row r="58" spans="1:23">
      <c r="A58" s="10"/>
      <c r="B58" s="10"/>
      <c r="C58" s="11"/>
      <c r="D58" s="11"/>
      <c r="E58" s="11"/>
      <c r="F58" s="11"/>
      <c r="G58" s="11"/>
      <c r="H58" s="11"/>
      <c r="I58" s="11"/>
      <c r="J58" s="6"/>
      <c r="K58" s="6"/>
      <c r="L58" s="6"/>
      <c r="M58" s="6"/>
      <c r="N58" s="6"/>
      <c r="O58" s="6"/>
      <c r="P58" s="6"/>
      <c r="Q58" s="12"/>
      <c r="R58" s="13"/>
      <c r="S58" s="13"/>
      <c r="T58" s="13"/>
      <c r="U58" s="13"/>
      <c r="V58" s="13"/>
      <c r="W58" s="13"/>
    </row>
    <row r="59" spans="1:23">
      <c r="A59" s="10"/>
      <c r="B59" s="10"/>
      <c r="C59" s="11"/>
      <c r="D59" s="11"/>
      <c r="E59" s="11"/>
      <c r="F59" s="11"/>
      <c r="G59" s="11"/>
      <c r="H59" s="11"/>
      <c r="I59" s="11"/>
      <c r="J59" s="6"/>
      <c r="K59" s="6"/>
      <c r="L59" s="6"/>
      <c r="M59" s="6"/>
      <c r="N59" s="6"/>
      <c r="O59" s="6"/>
      <c r="P59" s="6"/>
      <c r="Q59" s="12"/>
      <c r="R59" s="13"/>
      <c r="S59" s="13"/>
      <c r="T59" s="13"/>
      <c r="U59" s="13"/>
      <c r="V59" s="13"/>
      <c r="W59" s="13"/>
    </row>
    <row r="60" spans="1:23">
      <c r="A60" s="10"/>
      <c r="B60" s="10"/>
      <c r="C60" s="11"/>
      <c r="D60" s="11"/>
      <c r="E60" s="11"/>
      <c r="F60" s="11"/>
      <c r="G60" s="11"/>
      <c r="H60" s="11"/>
      <c r="I60" s="11"/>
      <c r="J60" s="6"/>
      <c r="K60" s="6"/>
      <c r="L60" s="6"/>
      <c r="M60" s="6"/>
      <c r="N60" s="6"/>
      <c r="O60" s="6"/>
      <c r="P60" s="6"/>
      <c r="Q60" s="12"/>
      <c r="R60" s="13"/>
      <c r="S60" s="13"/>
      <c r="T60" s="13"/>
      <c r="U60" s="13"/>
      <c r="V60" s="13"/>
      <c r="W60" s="13"/>
    </row>
    <row r="61" spans="1:23">
      <c r="A61" s="10"/>
      <c r="B61" s="10"/>
      <c r="C61" s="11"/>
      <c r="D61" s="11"/>
      <c r="E61" s="11"/>
      <c r="F61" s="11"/>
      <c r="G61" s="11"/>
      <c r="H61" s="11"/>
      <c r="I61" s="11"/>
      <c r="J61" s="6"/>
      <c r="K61" s="6"/>
      <c r="L61" s="6"/>
      <c r="M61" s="6"/>
      <c r="N61" s="6"/>
      <c r="O61" s="6"/>
      <c r="P61" s="6"/>
      <c r="Q61" s="12"/>
      <c r="R61" s="13"/>
      <c r="S61" s="13"/>
      <c r="T61" s="13"/>
      <c r="U61" s="13"/>
      <c r="V61" s="13"/>
      <c r="W61" s="13"/>
    </row>
    <row r="62" spans="1:23">
      <c r="A62" s="10"/>
      <c r="B62" s="10"/>
      <c r="C62" s="11"/>
      <c r="D62" s="11"/>
      <c r="E62" s="11"/>
      <c r="F62" s="11"/>
      <c r="G62" s="11"/>
      <c r="H62" s="11"/>
      <c r="I62" s="11"/>
      <c r="J62" s="6"/>
      <c r="K62" s="6"/>
      <c r="L62" s="6"/>
      <c r="M62" s="6"/>
      <c r="N62" s="6"/>
      <c r="O62" s="6"/>
      <c r="P62" s="6"/>
      <c r="Q62" s="12"/>
      <c r="R62" s="13"/>
      <c r="S62" s="13"/>
      <c r="T62" s="13"/>
      <c r="U62" s="13"/>
      <c r="V62" s="13"/>
      <c r="W62" s="13"/>
    </row>
    <row r="63" spans="1:23">
      <c r="A63" s="10"/>
      <c r="B63" s="10"/>
      <c r="C63" s="11"/>
      <c r="D63" s="11"/>
      <c r="E63" s="11"/>
      <c r="F63" s="11"/>
      <c r="G63" s="11"/>
      <c r="H63" s="11"/>
      <c r="I63" s="11"/>
      <c r="J63" s="6"/>
      <c r="K63" s="6"/>
      <c r="L63" s="6"/>
      <c r="M63" s="6"/>
      <c r="N63" s="6"/>
      <c r="O63" s="6"/>
      <c r="P63" s="6"/>
      <c r="Q63" s="12"/>
      <c r="R63" s="13"/>
      <c r="S63" s="13"/>
      <c r="T63" s="13"/>
      <c r="U63" s="13"/>
      <c r="V63" s="13"/>
      <c r="W63" s="13"/>
    </row>
    <row r="64" spans="1:23">
      <c r="A64" s="10"/>
      <c r="B64" s="10"/>
      <c r="C64" s="11"/>
      <c r="D64" s="11"/>
      <c r="E64" s="11"/>
      <c r="F64" s="11"/>
      <c r="G64" s="11"/>
      <c r="H64" s="11"/>
      <c r="I64" s="11"/>
      <c r="J64" s="6"/>
      <c r="K64" s="6"/>
      <c r="L64" s="6"/>
      <c r="M64" s="6"/>
      <c r="N64" s="6"/>
      <c r="O64" s="6"/>
      <c r="P64" s="6"/>
      <c r="Q64" s="12"/>
      <c r="R64" s="13"/>
      <c r="S64" s="13"/>
      <c r="T64" s="13"/>
      <c r="U64" s="13"/>
      <c r="V64" s="13"/>
      <c r="W64" s="13"/>
    </row>
    <row r="65" spans="1:23">
      <c r="A65" s="10"/>
      <c r="B65" s="10"/>
      <c r="C65" s="11"/>
      <c r="D65" s="11"/>
      <c r="E65" s="11"/>
      <c r="F65" s="11"/>
      <c r="G65" s="11"/>
      <c r="H65" s="11"/>
      <c r="I65" s="11"/>
      <c r="J65" s="6"/>
      <c r="K65" s="6"/>
      <c r="L65" s="6"/>
      <c r="M65" s="6"/>
      <c r="N65" s="6"/>
      <c r="O65" s="6"/>
      <c r="P65" s="6"/>
      <c r="Q65" s="12"/>
      <c r="R65" s="13"/>
      <c r="S65" s="13"/>
      <c r="T65" s="13"/>
      <c r="U65" s="13"/>
      <c r="V65" s="13"/>
      <c r="W65" s="13"/>
    </row>
    <row r="66" spans="1:23">
      <c r="A66" s="10"/>
      <c r="B66" s="10"/>
      <c r="C66" s="11"/>
      <c r="D66" s="11"/>
      <c r="E66" s="11"/>
      <c r="F66" s="11"/>
      <c r="G66" s="11"/>
      <c r="H66" s="11"/>
      <c r="I66" s="11"/>
      <c r="J66" s="6"/>
      <c r="K66" s="6"/>
      <c r="L66" s="6"/>
      <c r="M66" s="6"/>
      <c r="N66" s="6"/>
      <c r="O66" s="6"/>
      <c r="P66" s="6"/>
      <c r="Q66" s="12"/>
      <c r="R66" s="13"/>
      <c r="S66" s="13"/>
      <c r="T66" s="13"/>
      <c r="U66" s="13"/>
      <c r="V66" s="13"/>
      <c r="W66" s="13"/>
    </row>
    <row r="67" spans="1:23">
      <c r="A67" s="10"/>
      <c r="B67" s="10"/>
      <c r="C67" s="11"/>
      <c r="D67" s="11"/>
      <c r="E67" s="11"/>
      <c r="F67" s="11"/>
      <c r="G67" s="11"/>
      <c r="H67" s="11"/>
      <c r="I67" s="11"/>
      <c r="J67" s="6"/>
      <c r="K67" s="6"/>
      <c r="L67" s="6"/>
      <c r="M67" s="6"/>
      <c r="N67" s="6"/>
      <c r="O67" s="6"/>
      <c r="P67" s="6"/>
      <c r="Q67" s="12"/>
      <c r="R67" s="13"/>
      <c r="S67" s="13"/>
      <c r="T67" s="13"/>
      <c r="U67" s="13"/>
      <c r="V67" s="13"/>
      <c r="W67" s="13"/>
    </row>
    <row r="68" spans="1:23">
      <c r="A68" s="10"/>
      <c r="B68" s="10"/>
      <c r="C68" s="11"/>
      <c r="D68" s="11"/>
      <c r="E68" s="11"/>
      <c r="F68" s="11"/>
      <c r="G68" s="11"/>
      <c r="H68" s="11"/>
      <c r="I68" s="11"/>
      <c r="J68" s="6"/>
      <c r="K68" s="6"/>
      <c r="L68" s="6"/>
      <c r="M68" s="6"/>
      <c r="N68" s="6"/>
      <c r="O68" s="6"/>
      <c r="P68" s="6"/>
      <c r="Q68" s="12"/>
      <c r="R68" s="13"/>
      <c r="S68" s="13"/>
      <c r="T68" s="13"/>
      <c r="U68" s="13"/>
      <c r="V68" s="13"/>
      <c r="W68" s="13"/>
    </row>
    <row r="69" spans="1:23">
      <c r="A69" s="10"/>
      <c r="B69" s="10"/>
      <c r="C69" s="11"/>
      <c r="D69" s="11"/>
      <c r="E69" s="11"/>
      <c r="F69" s="11"/>
      <c r="G69" s="11"/>
      <c r="H69" s="11"/>
      <c r="I69" s="11"/>
      <c r="J69" s="6"/>
      <c r="K69" s="6"/>
      <c r="L69" s="6"/>
      <c r="M69" s="6"/>
      <c r="N69" s="6"/>
      <c r="O69" s="6"/>
      <c r="P69" s="6"/>
      <c r="Q69" s="12"/>
      <c r="R69" s="13"/>
      <c r="S69" s="13"/>
      <c r="T69" s="13"/>
      <c r="U69" s="13"/>
      <c r="V69" s="13"/>
      <c r="W69" s="13"/>
    </row>
    <row r="70" spans="1:23">
      <c r="A70" s="10"/>
      <c r="B70" s="10"/>
      <c r="C70" s="11"/>
      <c r="D70" s="11"/>
      <c r="E70" s="11"/>
      <c r="F70" s="11"/>
      <c r="G70" s="11"/>
      <c r="H70" s="11"/>
      <c r="I70" s="11"/>
      <c r="J70" s="6"/>
      <c r="K70" s="6"/>
      <c r="L70" s="6"/>
      <c r="M70" s="6"/>
      <c r="N70" s="6"/>
      <c r="O70" s="6"/>
      <c r="P70" s="6"/>
      <c r="Q70" s="12"/>
      <c r="R70" s="13"/>
      <c r="S70" s="13"/>
      <c r="T70" s="13"/>
      <c r="U70" s="13"/>
      <c r="V70" s="13"/>
      <c r="W70" s="13"/>
    </row>
    <row r="71" spans="1:23">
      <c r="A71" s="10"/>
      <c r="B71" s="10"/>
      <c r="C71" s="11"/>
      <c r="D71" s="11"/>
      <c r="E71" s="11"/>
      <c r="F71" s="11"/>
      <c r="G71" s="11"/>
      <c r="H71" s="11"/>
      <c r="I71" s="11"/>
      <c r="J71" s="6"/>
      <c r="K71" s="6"/>
      <c r="L71" s="6"/>
      <c r="M71" s="6"/>
      <c r="N71" s="6"/>
      <c r="O71" s="6"/>
      <c r="P71" s="6"/>
      <c r="Q71" s="12"/>
      <c r="R71" s="13"/>
      <c r="S71" s="13"/>
      <c r="T71" s="13"/>
      <c r="U71" s="13"/>
      <c r="V71" s="13"/>
      <c r="W71" s="13"/>
    </row>
    <row r="72" spans="1:23">
      <c r="A72" s="10"/>
      <c r="B72" s="10"/>
      <c r="C72" s="11"/>
      <c r="D72" s="11"/>
      <c r="E72" s="11"/>
      <c r="F72" s="11"/>
      <c r="G72" s="11"/>
      <c r="H72" s="11"/>
      <c r="I72" s="11"/>
      <c r="J72" s="6"/>
      <c r="K72" s="6"/>
      <c r="L72" s="6"/>
      <c r="M72" s="6"/>
      <c r="N72" s="6"/>
      <c r="O72" s="6"/>
      <c r="P72" s="6"/>
      <c r="Q72" s="12"/>
      <c r="R72" s="13"/>
      <c r="S72" s="13"/>
      <c r="T72" s="13"/>
      <c r="U72" s="13"/>
      <c r="V72" s="13"/>
      <c r="W72" s="13"/>
    </row>
    <row r="73" spans="1:23">
      <c r="A73" s="10"/>
      <c r="B73" s="10"/>
      <c r="C73" s="11"/>
      <c r="D73" s="11"/>
      <c r="E73" s="11"/>
      <c r="F73" s="11"/>
      <c r="G73" s="11"/>
      <c r="H73" s="11"/>
      <c r="I73" s="11"/>
      <c r="J73" s="6"/>
      <c r="K73" s="6"/>
      <c r="L73" s="6"/>
      <c r="M73" s="6"/>
      <c r="N73" s="6"/>
      <c r="O73" s="6"/>
      <c r="P73" s="6"/>
      <c r="Q73" s="12"/>
      <c r="R73" s="13"/>
      <c r="S73" s="13"/>
      <c r="T73" s="13"/>
      <c r="U73" s="13"/>
      <c r="V73" s="13"/>
      <c r="W73" s="13"/>
    </row>
    <row r="74" spans="1:23">
      <c r="A74" s="10"/>
      <c r="B74" s="10"/>
      <c r="C74" s="11"/>
      <c r="D74" s="11"/>
      <c r="E74" s="11"/>
      <c r="F74" s="11"/>
      <c r="G74" s="11"/>
      <c r="H74" s="11"/>
      <c r="I74" s="11"/>
      <c r="J74" s="6"/>
      <c r="K74" s="6"/>
      <c r="L74" s="6"/>
      <c r="M74" s="6"/>
      <c r="N74" s="6"/>
      <c r="O74" s="6"/>
      <c r="P74" s="6"/>
      <c r="Q74" s="12"/>
      <c r="R74" s="13"/>
      <c r="S74" s="13"/>
      <c r="T74" s="13"/>
      <c r="U74" s="13"/>
      <c r="V74" s="13"/>
      <c r="W74" s="13"/>
    </row>
    <row r="75" spans="1:23">
      <c r="A75" s="10"/>
      <c r="B75" s="10"/>
      <c r="C75" s="11"/>
      <c r="D75" s="11"/>
      <c r="E75" s="11"/>
      <c r="F75" s="11"/>
      <c r="G75" s="11"/>
      <c r="H75" s="11"/>
      <c r="I75" s="11"/>
      <c r="J75" s="6"/>
      <c r="K75" s="6"/>
      <c r="L75" s="6"/>
      <c r="M75" s="6"/>
      <c r="N75" s="6"/>
      <c r="O75" s="6"/>
      <c r="P75" s="6"/>
      <c r="Q75" s="12"/>
      <c r="R75" s="13"/>
      <c r="S75" s="13"/>
      <c r="T75" s="13"/>
      <c r="U75" s="13"/>
      <c r="V75" s="13"/>
      <c r="W75" s="13"/>
    </row>
    <row r="76" spans="1:23">
      <c r="A76" s="10"/>
      <c r="B76" s="10"/>
      <c r="C76" s="11"/>
      <c r="D76" s="11"/>
      <c r="E76" s="11"/>
      <c r="F76" s="11"/>
      <c r="G76" s="11"/>
      <c r="H76" s="11"/>
      <c r="I76" s="11"/>
      <c r="J76" s="6"/>
      <c r="K76" s="6"/>
      <c r="L76" s="6"/>
      <c r="M76" s="6"/>
      <c r="N76" s="6"/>
      <c r="O76" s="6"/>
      <c r="P76" s="6"/>
      <c r="Q76" s="12"/>
      <c r="R76" s="13"/>
      <c r="S76" s="13"/>
      <c r="T76" s="13"/>
      <c r="U76" s="13"/>
      <c r="V76" s="13"/>
      <c r="W76" s="13"/>
    </row>
    <row r="77" spans="1:23">
      <c r="A77" s="10"/>
      <c r="B77" s="10"/>
      <c r="C77" s="11"/>
      <c r="D77" s="11"/>
      <c r="E77" s="11"/>
      <c r="F77" s="11"/>
      <c r="G77" s="11"/>
      <c r="H77" s="11"/>
      <c r="I77" s="11"/>
      <c r="J77" s="6"/>
      <c r="K77" s="6"/>
      <c r="L77" s="6"/>
      <c r="M77" s="6"/>
      <c r="N77" s="6"/>
      <c r="O77" s="6"/>
      <c r="P77" s="6"/>
      <c r="Q77" s="12"/>
      <c r="R77" s="13"/>
      <c r="S77" s="13"/>
      <c r="T77" s="13"/>
      <c r="U77" s="13"/>
      <c r="V77" s="13"/>
      <c r="W77" s="13"/>
    </row>
    <row r="78" spans="1:23">
      <c r="A78" s="10"/>
      <c r="B78" s="10"/>
      <c r="C78" s="11"/>
      <c r="D78" s="11"/>
      <c r="E78" s="11"/>
      <c r="F78" s="11"/>
      <c r="G78" s="11"/>
      <c r="H78" s="11"/>
      <c r="I78" s="11"/>
      <c r="J78" s="6"/>
      <c r="K78" s="6"/>
      <c r="L78" s="6"/>
      <c r="M78" s="6"/>
      <c r="N78" s="6"/>
      <c r="O78" s="6"/>
      <c r="P78" s="6"/>
      <c r="Q78" s="12"/>
      <c r="R78" s="13"/>
      <c r="S78" s="13"/>
      <c r="T78" s="13"/>
      <c r="U78" s="13"/>
      <c r="V78" s="13"/>
      <c r="W78" s="13"/>
    </row>
    <row r="79" spans="1:23">
      <c r="A79" s="10"/>
      <c r="B79" s="10"/>
      <c r="C79" s="11"/>
      <c r="D79" s="11"/>
      <c r="E79" s="11"/>
      <c r="F79" s="11"/>
      <c r="G79" s="11"/>
      <c r="H79" s="11"/>
      <c r="I79" s="11"/>
      <c r="J79" s="6"/>
      <c r="K79" s="6"/>
      <c r="L79" s="6"/>
      <c r="M79" s="6"/>
      <c r="N79" s="6"/>
      <c r="O79" s="6"/>
      <c r="P79" s="6"/>
      <c r="Q79" s="12"/>
      <c r="R79" s="13"/>
      <c r="S79" s="13"/>
      <c r="T79" s="13"/>
      <c r="U79" s="13"/>
      <c r="V79" s="13"/>
      <c r="W79" s="13"/>
    </row>
    <row r="80" spans="1:23">
      <c r="A80" s="10"/>
      <c r="B80" s="10"/>
      <c r="C80" s="11"/>
      <c r="D80" s="11"/>
      <c r="E80" s="11"/>
      <c r="F80" s="11"/>
      <c r="G80" s="11"/>
      <c r="H80" s="11"/>
      <c r="I80" s="11"/>
      <c r="J80" s="6"/>
      <c r="K80" s="6"/>
      <c r="L80" s="6"/>
      <c r="M80" s="6"/>
      <c r="N80" s="6"/>
      <c r="O80" s="6"/>
      <c r="P80" s="6"/>
      <c r="Q80" s="12"/>
      <c r="R80" s="13"/>
      <c r="S80" s="13"/>
      <c r="T80" s="13"/>
      <c r="U80" s="13"/>
      <c r="V80" s="13"/>
      <c r="W80" s="13"/>
    </row>
    <row r="81" spans="1:23">
      <c r="A81" s="10"/>
      <c r="B81" s="10"/>
      <c r="C81" s="11"/>
      <c r="D81" s="11"/>
      <c r="E81" s="11"/>
      <c r="F81" s="11"/>
      <c r="G81" s="11"/>
      <c r="H81" s="11"/>
      <c r="I81" s="11"/>
      <c r="J81" s="6"/>
      <c r="K81" s="6"/>
      <c r="L81" s="6"/>
      <c r="M81" s="6"/>
      <c r="N81" s="6"/>
      <c r="O81" s="6"/>
      <c r="P81" s="6"/>
      <c r="Q81" s="12"/>
      <c r="R81" s="13"/>
      <c r="S81" s="13"/>
      <c r="T81" s="13"/>
      <c r="U81" s="13"/>
      <c r="V81" s="13"/>
      <c r="W81" s="13"/>
    </row>
    <row r="82" spans="1:23">
      <c r="A82" s="10"/>
      <c r="B82" s="10"/>
      <c r="C82" s="11"/>
      <c r="D82" s="11"/>
      <c r="E82" s="11"/>
      <c r="F82" s="11"/>
      <c r="G82" s="11"/>
      <c r="H82" s="11"/>
      <c r="I82" s="11"/>
      <c r="J82" s="6"/>
      <c r="K82" s="6"/>
      <c r="L82" s="6"/>
      <c r="M82" s="6"/>
      <c r="N82" s="6"/>
      <c r="O82" s="6"/>
      <c r="P82" s="6"/>
      <c r="Q82" s="12"/>
      <c r="R82" s="13"/>
      <c r="S82" s="13"/>
      <c r="T82" s="13"/>
      <c r="U82" s="13"/>
      <c r="V82" s="13"/>
      <c r="W82" s="13"/>
    </row>
    <row r="83" spans="1:23">
      <c r="A83" s="10"/>
      <c r="B83" s="10"/>
      <c r="C83" s="11"/>
      <c r="D83" s="11"/>
      <c r="E83" s="11"/>
      <c r="F83" s="11"/>
      <c r="G83" s="11"/>
      <c r="H83" s="11"/>
      <c r="I83" s="11"/>
      <c r="J83" s="6"/>
      <c r="K83" s="6"/>
      <c r="L83" s="6"/>
      <c r="M83" s="6"/>
      <c r="N83" s="6"/>
      <c r="O83" s="6"/>
      <c r="P83" s="6"/>
      <c r="Q83" s="12"/>
      <c r="R83" s="13"/>
      <c r="S83" s="13"/>
      <c r="T83" s="13"/>
      <c r="U83" s="13"/>
      <c r="V83" s="13"/>
      <c r="W83" s="13"/>
    </row>
    <row r="84" spans="1:23">
      <c r="A84" s="10"/>
      <c r="B84" s="10"/>
      <c r="C84" s="11"/>
      <c r="D84" s="11"/>
      <c r="E84" s="11"/>
      <c r="F84" s="11"/>
      <c r="G84" s="11"/>
      <c r="H84" s="11"/>
      <c r="I84" s="11"/>
      <c r="J84" s="6"/>
      <c r="K84" s="6"/>
      <c r="L84" s="6"/>
      <c r="M84" s="6"/>
      <c r="N84" s="6"/>
      <c r="O84" s="6"/>
      <c r="P84" s="6"/>
      <c r="Q84" s="12"/>
      <c r="R84" s="13"/>
      <c r="S84" s="13"/>
      <c r="T84" s="13"/>
      <c r="U84" s="13"/>
      <c r="V84" s="13"/>
      <c r="W84" s="13"/>
    </row>
    <row r="85" spans="1:23">
      <c r="A85" s="10"/>
      <c r="B85" s="10"/>
      <c r="C85" s="11"/>
      <c r="D85" s="11"/>
      <c r="E85" s="11"/>
      <c r="F85" s="11"/>
      <c r="G85" s="11"/>
      <c r="H85" s="11"/>
      <c r="I85" s="11"/>
      <c r="J85" s="6"/>
      <c r="K85" s="6"/>
      <c r="L85" s="6"/>
      <c r="M85" s="6"/>
      <c r="N85" s="6"/>
      <c r="O85" s="6"/>
      <c r="P85" s="6"/>
      <c r="Q85" s="12"/>
      <c r="R85" s="13"/>
      <c r="S85" s="13"/>
      <c r="T85" s="13"/>
      <c r="U85" s="13"/>
      <c r="V85" s="13"/>
      <c r="W85" s="13"/>
    </row>
    <row r="86" spans="1:23">
      <c r="A86" s="10"/>
      <c r="B86" s="10"/>
      <c r="C86" s="11"/>
      <c r="D86" s="11"/>
      <c r="E86" s="11"/>
      <c r="F86" s="11"/>
      <c r="G86" s="11"/>
      <c r="H86" s="11"/>
      <c r="I86" s="11"/>
      <c r="J86" s="6"/>
      <c r="K86" s="6"/>
      <c r="L86" s="6"/>
      <c r="M86" s="6"/>
      <c r="N86" s="6"/>
      <c r="O86" s="6"/>
      <c r="P86" s="6"/>
      <c r="Q86" s="12"/>
      <c r="R86" s="13"/>
      <c r="S86" s="13"/>
      <c r="T86" s="13"/>
      <c r="U86" s="13"/>
      <c r="V86" s="13"/>
      <c r="W86" s="13"/>
    </row>
    <row r="87" spans="1:23">
      <c r="A87" s="10"/>
      <c r="B87" s="10"/>
      <c r="C87" s="11"/>
      <c r="D87" s="11"/>
      <c r="E87" s="11"/>
      <c r="F87" s="11"/>
      <c r="G87" s="11"/>
      <c r="H87" s="11"/>
      <c r="I87" s="11"/>
      <c r="J87" s="6"/>
      <c r="K87" s="6"/>
      <c r="L87" s="6"/>
      <c r="M87" s="6"/>
      <c r="N87" s="6"/>
      <c r="O87" s="6"/>
      <c r="P87" s="6"/>
      <c r="Q87" s="12"/>
      <c r="R87" s="6"/>
      <c r="S87" s="13"/>
      <c r="T87" s="13"/>
      <c r="U87" s="13"/>
      <c r="V87" s="13"/>
      <c r="W87" s="13"/>
    </row>
    <row r="88" spans="1:23">
      <c r="A88" s="10"/>
      <c r="B88" s="10"/>
      <c r="C88" s="11"/>
      <c r="D88" s="11"/>
      <c r="E88" s="11"/>
      <c r="F88" s="11"/>
      <c r="G88" s="11"/>
      <c r="H88" s="11"/>
      <c r="I88" s="11"/>
      <c r="J88" s="6"/>
      <c r="K88" s="6"/>
      <c r="L88" s="6"/>
      <c r="M88" s="6"/>
      <c r="N88" s="6"/>
      <c r="O88" s="6"/>
      <c r="P88" s="6"/>
      <c r="Q88" s="12"/>
      <c r="R88" s="13"/>
      <c r="S88" s="13"/>
      <c r="T88" s="13"/>
      <c r="U88" s="13"/>
      <c r="V88" s="13"/>
      <c r="W88" s="13"/>
    </row>
    <row r="89" spans="1:23">
      <c r="A89" s="10"/>
      <c r="B89" s="10"/>
      <c r="C89" s="11"/>
      <c r="D89" s="11"/>
      <c r="E89" s="11"/>
      <c r="F89" s="11"/>
      <c r="G89" s="11"/>
      <c r="H89" s="11"/>
      <c r="I89" s="11"/>
      <c r="J89" s="6"/>
      <c r="K89" s="6"/>
      <c r="L89" s="6"/>
      <c r="M89" s="6"/>
      <c r="N89" s="6"/>
      <c r="O89" s="6"/>
      <c r="P89" s="6"/>
      <c r="Q89" s="12"/>
      <c r="R89" s="13"/>
      <c r="S89" s="13"/>
      <c r="T89" s="13"/>
      <c r="U89" s="13"/>
      <c r="V89" s="13"/>
      <c r="W89" s="13"/>
    </row>
    <row r="90" spans="1:23">
      <c r="A90" s="10"/>
      <c r="B90" s="10"/>
      <c r="C90" s="11"/>
      <c r="D90" s="11"/>
      <c r="E90" s="11"/>
      <c r="F90" s="11"/>
      <c r="G90" s="11"/>
      <c r="H90" s="11"/>
      <c r="I90" s="11"/>
      <c r="J90" s="6"/>
      <c r="K90" s="6"/>
      <c r="L90" s="6"/>
      <c r="M90" s="6"/>
      <c r="N90" s="6"/>
      <c r="O90" s="6"/>
      <c r="P90" s="6"/>
      <c r="Q90" s="12"/>
      <c r="R90" s="13"/>
      <c r="S90" s="13"/>
      <c r="T90" s="13"/>
      <c r="U90" s="13"/>
      <c r="V90" s="13"/>
      <c r="W90" s="13"/>
    </row>
    <row r="91" spans="1:23">
      <c r="A91" s="10"/>
      <c r="B91" s="10"/>
      <c r="C91" s="11"/>
      <c r="D91" s="11"/>
      <c r="E91" s="11"/>
      <c r="F91" s="11"/>
      <c r="G91" s="11"/>
      <c r="H91" s="11"/>
      <c r="I91" s="11"/>
      <c r="J91" s="6"/>
      <c r="K91" s="6"/>
      <c r="L91" s="6"/>
      <c r="M91" s="6"/>
      <c r="N91" s="6"/>
      <c r="O91" s="6"/>
      <c r="P91" s="6"/>
      <c r="Q91" s="12"/>
      <c r="R91" s="13"/>
      <c r="S91" s="13"/>
      <c r="T91" s="13"/>
      <c r="U91" s="13"/>
      <c r="V91" s="13"/>
      <c r="W91" s="13"/>
    </row>
    <row r="92" spans="1:23">
      <c r="A92" s="10"/>
      <c r="B92" s="10"/>
      <c r="C92" s="11"/>
      <c r="D92" s="11"/>
      <c r="E92" s="11"/>
      <c r="F92" s="11"/>
      <c r="G92" s="11"/>
      <c r="H92" s="11"/>
      <c r="I92" s="11"/>
      <c r="J92" s="6"/>
      <c r="K92" s="6"/>
      <c r="L92" s="6"/>
      <c r="M92" s="6"/>
      <c r="N92" s="6"/>
      <c r="O92" s="6"/>
      <c r="P92" s="6"/>
      <c r="Q92" s="12"/>
      <c r="R92" s="13"/>
      <c r="S92" s="13"/>
      <c r="T92" s="13"/>
      <c r="U92" s="13"/>
      <c r="V92" s="13"/>
      <c r="W92" s="13"/>
    </row>
    <row r="93" spans="1:23">
      <c r="A93" s="10"/>
      <c r="B93" s="10"/>
      <c r="C93" s="11"/>
      <c r="D93" s="11"/>
      <c r="E93" s="11"/>
      <c r="F93" s="11"/>
      <c r="G93" s="11"/>
      <c r="H93" s="11"/>
      <c r="I93" s="11"/>
      <c r="J93" s="6"/>
      <c r="K93" s="6"/>
      <c r="L93" s="6"/>
      <c r="M93" s="6"/>
      <c r="N93" s="6"/>
      <c r="O93" s="6"/>
      <c r="P93" s="6"/>
      <c r="Q93" s="12"/>
      <c r="R93" s="13"/>
      <c r="S93" s="13"/>
      <c r="T93" s="13"/>
      <c r="U93" s="13"/>
      <c r="V93" s="13"/>
      <c r="W93" s="13"/>
    </row>
    <row r="94" spans="1:23">
      <c r="A94" s="10"/>
      <c r="B94" s="10"/>
      <c r="C94" s="11"/>
      <c r="D94" s="11"/>
      <c r="E94" s="11"/>
      <c r="F94" s="11"/>
      <c r="G94" s="11"/>
      <c r="H94" s="11"/>
      <c r="I94" s="11"/>
      <c r="J94" s="6"/>
      <c r="K94" s="6"/>
      <c r="L94" s="6"/>
      <c r="M94" s="6"/>
      <c r="N94" s="6"/>
      <c r="O94" s="6"/>
      <c r="P94" s="6"/>
      <c r="Q94" s="12"/>
      <c r="R94" s="13"/>
      <c r="S94" s="13"/>
      <c r="T94" s="13"/>
      <c r="U94" s="13"/>
      <c r="V94" s="13"/>
      <c r="W94" s="13"/>
    </row>
    <row r="95" spans="1:23">
      <c r="A95" s="10"/>
      <c r="B95" s="10"/>
      <c r="C95" s="11"/>
      <c r="D95" s="11"/>
      <c r="E95" s="11"/>
      <c r="F95" s="11"/>
      <c r="G95" s="11"/>
      <c r="H95" s="11"/>
      <c r="I95" s="11"/>
      <c r="J95" s="6"/>
      <c r="K95" s="6"/>
      <c r="L95" s="6"/>
      <c r="M95" s="6"/>
      <c r="N95" s="6"/>
      <c r="O95" s="6"/>
      <c r="P95" s="6"/>
      <c r="Q95" s="12"/>
      <c r="R95" s="13"/>
      <c r="S95" s="13"/>
      <c r="T95" s="13"/>
      <c r="U95" s="13"/>
      <c r="V95" s="13"/>
      <c r="W95" s="13"/>
    </row>
    <row r="96" spans="1:23">
      <c r="A96" s="10"/>
      <c r="B96" s="10"/>
      <c r="C96" s="11"/>
      <c r="D96" s="11"/>
      <c r="E96" s="11"/>
      <c r="F96" s="11"/>
      <c r="G96" s="11"/>
      <c r="H96" s="11"/>
      <c r="I96" s="11"/>
      <c r="J96" s="6"/>
      <c r="K96" s="6"/>
      <c r="L96" s="6"/>
      <c r="M96" s="6"/>
      <c r="N96" s="6"/>
      <c r="O96" s="6"/>
      <c r="P96" s="6"/>
      <c r="Q96" s="12"/>
      <c r="R96" s="13"/>
      <c r="S96" s="13"/>
      <c r="T96" s="13"/>
      <c r="U96" s="13"/>
      <c r="V96" s="13"/>
      <c r="W96" s="13"/>
    </row>
    <row r="97" spans="1:23">
      <c r="A97" s="10"/>
      <c r="B97" s="10"/>
      <c r="C97" s="11"/>
      <c r="D97" s="11"/>
      <c r="E97" s="11"/>
      <c r="F97" s="11"/>
      <c r="G97" s="11"/>
      <c r="H97" s="11"/>
      <c r="I97" s="11"/>
      <c r="J97" s="6"/>
      <c r="K97" s="6"/>
      <c r="L97" s="6"/>
      <c r="M97" s="6"/>
      <c r="N97" s="6"/>
      <c r="O97" s="6"/>
      <c r="P97" s="6"/>
      <c r="Q97" s="12"/>
      <c r="R97" s="13"/>
      <c r="S97" s="13"/>
      <c r="T97" s="13"/>
      <c r="U97" s="13"/>
      <c r="V97" s="13"/>
      <c r="W97" s="13"/>
    </row>
    <row r="98" spans="1:23">
      <c r="A98" s="10"/>
      <c r="B98" s="10"/>
      <c r="C98" s="11"/>
      <c r="D98" s="11"/>
      <c r="E98" s="11"/>
      <c r="F98" s="11"/>
      <c r="G98" s="11"/>
      <c r="H98" s="11"/>
      <c r="I98" s="11"/>
      <c r="J98" s="6"/>
      <c r="K98" s="6"/>
      <c r="L98" s="6"/>
      <c r="M98" s="6"/>
      <c r="N98" s="6"/>
      <c r="O98" s="6"/>
      <c r="P98" s="6"/>
      <c r="Q98" s="12"/>
      <c r="R98" s="13"/>
      <c r="S98" s="13"/>
      <c r="T98" s="13"/>
      <c r="U98" s="13"/>
      <c r="V98" s="13"/>
      <c r="W98" s="13"/>
    </row>
    <row r="99" spans="1:23">
      <c r="A99" s="10"/>
      <c r="B99" s="10"/>
      <c r="C99" s="11"/>
      <c r="D99" s="11"/>
      <c r="E99" s="11"/>
      <c r="F99" s="11"/>
      <c r="G99" s="11"/>
      <c r="H99" s="11"/>
      <c r="I99" s="11"/>
      <c r="J99" s="6"/>
      <c r="K99" s="6"/>
      <c r="L99" s="6"/>
      <c r="M99" s="6"/>
      <c r="N99" s="6"/>
      <c r="O99" s="6"/>
      <c r="P99" s="6"/>
      <c r="Q99" s="12"/>
      <c r="R99" s="6"/>
      <c r="S99" s="13"/>
      <c r="T99" s="13"/>
      <c r="U99" s="13"/>
      <c r="V99" s="13"/>
      <c r="W99" s="13"/>
    </row>
    <row r="100" spans="1:23">
      <c r="A100" s="10"/>
      <c r="B100" s="10"/>
      <c r="C100" s="11"/>
      <c r="D100" s="11"/>
      <c r="E100" s="11"/>
      <c r="F100" s="11"/>
      <c r="G100" s="11"/>
      <c r="H100" s="11"/>
      <c r="I100" s="11"/>
      <c r="J100" s="6"/>
      <c r="K100" s="6"/>
      <c r="L100" s="6"/>
      <c r="M100" s="6"/>
      <c r="N100" s="6"/>
      <c r="O100" s="6"/>
      <c r="P100" s="6"/>
      <c r="Q100" s="12"/>
      <c r="R100" s="13"/>
      <c r="S100" s="13"/>
      <c r="T100" s="13"/>
      <c r="U100" s="13"/>
      <c r="V100" s="13"/>
      <c r="W100" s="13"/>
    </row>
    <row r="101" spans="1:23">
      <c r="A101" s="10"/>
      <c r="B101" s="10"/>
      <c r="C101" s="11"/>
      <c r="D101" s="11"/>
      <c r="E101" s="11"/>
      <c r="F101" s="11"/>
      <c r="G101" s="11"/>
      <c r="H101" s="11"/>
      <c r="I101" s="11"/>
      <c r="J101" s="6"/>
      <c r="K101" s="6"/>
      <c r="L101" s="6"/>
      <c r="M101" s="6"/>
      <c r="N101" s="6"/>
      <c r="O101" s="6"/>
      <c r="P101" s="6"/>
      <c r="Q101" s="12"/>
      <c r="R101" s="13"/>
      <c r="S101" s="13"/>
      <c r="T101" s="13"/>
      <c r="U101" s="13"/>
      <c r="V101" s="13"/>
      <c r="W101" s="13"/>
    </row>
    <row r="102" spans="1:23">
      <c r="A102" s="10"/>
      <c r="B102" s="10"/>
      <c r="C102" s="11"/>
      <c r="D102" s="11"/>
      <c r="E102" s="11"/>
      <c r="F102" s="11"/>
      <c r="G102" s="11"/>
      <c r="H102" s="11"/>
      <c r="I102" s="11"/>
      <c r="J102" s="6"/>
      <c r="K102" s="6"/>
      <c r="L102" s="6"/>
      <c r="M102" s="6"/>
      <c r="N102" s="6"/>
      <c r="O102" s="6"/>
      <c r="P102" s="6"/>
      <c r="Q102" s="12"/>
      <c r="R102" s="13"/>
      <c r="S102" s="13"/>
      <c r="T102" s="13"/>
      <c r="U102" s="13"/>
      <c r="V102" s="13"/>
      <c r="W102" s="13"/>
    </row>
    <row r="103" spans="1:23">
      <c r="A103" s="10"/>
      <c r="B103" s="10"/>
      <c r="C103" s="11"/>
      <c r="D103" s="11"/>
      <c r="E103" s="11"/>
      <c r="F103" s="11"/>
      <c r="G103" s="11"/>
      <c r="H103" s="11"/>
      <c r="I103" s="11"/>
      <c r="J103" s="6"/>
      <c r="K103" s="6"/>
      <c r="L103" s="6"/>
      <c r="M103" s="6"/>
      <c r="N103" s="6"/>
      <c r="O103" s="6"/>
      <c r="P103" s="6"/>
      <c r="Q103" s="12"/>
      <c r="R103" s="13"/>
      <c r="S103" s="13"/>
      <c r="T103" s="13"/>
      <c r="U103" s="13"/>
      <c r="V103" s="13"/>
      <c r="W103" s="13"/>
    </row>
    <row r="104" spans="1:23">
      <c r="A104" s="10"/>
      <c r="B104" s="10"/>
      <c r="C104" s="11"/>
      <c r="D104" s="11"/>
      <c r="E104" s="11"/>
      <c r="F104" s="11"/>
      <c r="G104" s="11"/>
      <c r="H104" s="11"/>
      <c r="I104" s="11"/>
      <c r="J104" s="6"/>
      <c r="K104" s="6"/>
      <c r="L104" s="6"/>
      <c r="M104" s="6"/>
      <c r="N104" s="6"/>
      <c r="O104" s="6"/>
      <c r="P104" s="6"/>
      <c r="Q104" s="12"/>
      <c r="R104" s="13"/>
      <c r="S104" s="13"/>
      <c r="T104" s="13"/>
      <c r="U104" s="13"/>
      <c r="V104" s="13"/>
      <c r="W104" s="13"/>
    </row>
    <row r="105" spans="1:23">
      <c r="A105" s="10"/>
      <c r="B105" s="10"/>
      <c r="C105" s="11"/>
      <c r="D105" s="11"/>
      <c r="E105" s="11"/>
      <c r="F105" s="11"/>
      <c r="G105" s="11"/>
      <c r="H105" s="11"/>
      <c r="I105" s="11"/>
      <c r="J105" s="6"/>
      <c r="K105" s="6"/>
      <c r="L105" s="6"/>
      <c r="M105" s="6"/>
      <c r="N105" s="6"/>
      <c r="O105" s="6"/>
      <c r="P105" s="6"/>
      <c r="Q105" s="12"/>
      <c r="R105" s="13"/>
      <c r="S105" s="13"/>
      <c r="T105" s="13"/>
      <c r="U105" s="13"/>
      <c r="V105" s="13"/>
      <c r="W105" s="13"/>
    </row>
    <row r="106" spans="1:23">
      <c r="A106" s="10"/>
      <c r="B106" s="10"/>
      <c r="C106" s="11"/>
      <c r="D106" s="11"/>
      <c r="E106" s="11"/>
      <c r="F106" s="11"/>
      <c r="G106" s="11"/>
      <c r="H106" s="11"/>
      <c r="I106" s="11"/>
      <c r="J106" s="6"/>
      <c r="K106" s="6"/>
      <c r="L106" s="6"/>
      <c r="M106" s="6"/>
      <c r="N106" s="6"/>
      <c r="O106" s="6"/>
      <c r="P106" s="6"/>
      <c r="Q106" s="12"/>
      <c r="R106" s="13"/>
      <c r="S106" s="13"/>
      <c r="T106" s="13"/>
      <c r="U106" s="13"/>
      <c r="V106" s="13"/>
      <c r="W106" s="13"/>
    </row>
    <row r="107" spans="1:23">
      <c r="A107" s="10"/>
      <c r="B107" s="10"/>
      <c r="C107" s="11"/>
      <c r="D107" s="11"/>
      <c r="E107" s="11"/>
      <c r="F107" s="11"/>
      <c r="G107" s="11"/>
      <c r="H107" s="11"/>
      <c r="I107" s="11"/>
      <c r="J107" s="6"/>
      <c r="K107" s="6"/>
      <c r="L107" s="6"/>
      <c r="M107" s="6"/>
      <c r="N107" s="6"/>
      <c r="O107" s="6"/>
      <c r="P107" s="6"/>
      <c r="Q107" s="12"/>
      <c r="R107" s="13"/>
      <c r="S107" s="13"/>
      <c r="T107" s="13"/>
      <c r="U107" s="13"/>
      <c r="V107" s="13"/>
      <c r="W107" s="13"/>
    </row>
    <row r="108" spans="1:23">
      <c r="A108" s="10"/>
      <c r="B108" s="10"/>
      <c r="C108" s="11"/>
      <c r="D108" s="11"/>
      <c r="E108" s="11"/>
      <c r="F108" s="11"/>
      <c r="G108" s="11"/>
      <c r="H108" s="11"/>
      <c r="I108" s="11"/>
      <c r="J108" s="6"/>
      <c r="K108" s="6"/>
      <c r="L108" s="6"/>
      <c r="M108" s="6"/>
      <c r="N108" s="6"/>
      <c r="O108" s="6"/>
      <c r="P108" s="6"/>
      <c r="Q108" s="12"/>
      <c r="R108" s="13"/>
      <c r="S108" s="13"/>
      <c r="T108" s="13"/>
      <c r="U108" s="13"/>
      <c r="V108" s="13"/>
      <c r="W108" s="13"/>
    </row>
    <row r="109" spans="1:23">
      <c r="A109" s="10"/>
      <c r="B109" s="10"/>
      <c r="C109" s="11"/>
      <c r="D109" s="11"/>
      <c r="E109" s="11"/>
      <c r="F109" s="11"/>
      <c r="G109" s="11"/>
      <c r="H109" s="11"/>
      <c r="I109" s="11"/>
      <c r="J109" s="6"/>
      <c r="K109" s="6"/>
      <c r="L109" s="6"/>
      <c r="M109" s="6"/>
      <c r="N109" s="6"/>
      <c r="O109" s="6"/>
      <c r="P109" s="6"/>
      <c r="Q109" s="12"/>
      <c r="R109" s="13"/>
      <c r="S109" s="13"/>
      <c r="T109" s="13"/>
      <c r="U109" s="13"/>
      <c r="V109" s="13"/>
      <c r="W109" s="13"/>
    </row>
    <row r="110" spans="1:23">
      <c r="A110" s="10"/>
      <c r="B110" s="10"/>
      <c r="C110" s="11"/>
      <c r="D110" s="11"/>
      <c r="E110" s="11"/>
      <c r="F110" s="11"/>
      <c r="G110" s="11"/>
      <c r="H110" s="11"/>
      <c r="I110" s="11"/>
      <c r="J110" s="6"/>
      <c r="K110" s="6"/>
      <c r="L110" s="6"/>
      <c r="M110" s="6"/>
      <c r="N110" s="6"/>
      <c r="O110" s="6"/>
      <c r="P110" s="6"/>
      <c r="Q110" s="12"/>
      <c r="R110" s="13"/>
      <c r="S110" s="13"/>
      <c r="T110" s="13"/>
      <c r="U110" s="13"/>
      <c r="V110" s="13"/>
      <c r="W110" s="13"/>
    </row>
    <row r="111" spans="1:23">
      <c r="A111" s="10"/>
      <c r="B111" s="10"/>
      <c r="C111" s="11"/>
      <c r="D111" s="11"/>
      <c r="E111" s="11"/>
      <c r="F111" s="11"/>
      <c r="G111" s="11"/>
      <c r="H111" s="11"/>
      <c r="I111" s="11"/>
      <c r="J111" s="6"/>
      <c r="K111" s="6"/>
      <c r="L111" s="6"/>
      <c r="M111" s="6"/>
      <c r="N111" s="6"/>
      <c r="O111" s="6"/>
      <c r="P111" s="6"/>
      <c r="Q111" s="12"/>
      <c r="R111" s="13"/>
      <c r="S111" s="13"/>
      <c r="T111" s="13"/>
      <c r="U111" s="13"/>
      <c r="V111" s="13"/>
      <c r="W111" s="13"/>
    </row>
    <row r="112" spans="1:23">
      <c r="A112" s="10"/>
      <c r="B112" s="10"/>
      <c r="C112" s="11"/>
      <c r="D112" s="11"/>
      <c r="E112" s="11"/>
      <c r="F112" s="11"/>
      <c r="G112" s="11"/>
      <c r="H112" s="11"/>
      <c r="I112" s="11"/>
      <c r="J112" s="6"/>
      <c r="K112" s="6"/>
      <c r="L112" s="6"/>
      <c r="M112" s="6"/>
      <c r="N112" s="6"/>
      <c r="O112" s="6"/>
      <c r="P112" s="6"/>
      <c r="Q112" s="12"/>
      <c r="R112" s="13"/>
      <c r="S112" s="13"/>
      <c r="T112" s="13"/>
      <c r="U112" s="13"/>
      <c r="V112" s="13"/>
      <c r="W112" s="13"/>
    </row>
    <row r="113" spans="1:23">
      <c r="A113" s="10"/>
      <c r="B113" s="10"/>
      <c r="C113" s="11"/>
      <c r="D113" s="11"/>
      <c r="E113" s="11"/>
      <c r="F113" s="11"/>
      <c r="G113" s="11"/>
      <c r="H113" s="11"/>
      <c r="I113" s="11"/>
      <c r="J113" s="6"/>
      <c r="K113" s="6"/>
      <c r="L113" s="6"/>
      <c r="M113" s="6"/>
      <c r="N113" s="6"/>
      <c r="O113" s="6"/>
      <c r="P113" s="6"/>
      <c r="Q113" s="12"/>
      <c r="R113" s="13"/>
      <c r="S113" s="13"/>
      <c r="T113" s="13"/>
      <c r="U113" s="13"/>
      <c r="V113" s="13"/>
      <c r="W113" s="13"/>
    </row>
    <row r="114" spans="1:23">
      <c r="A114" s="10"/>
      <c r="B114" s="10"/>
      <c r="C114" s="11"/>
      <c r="D114" s="11"/>
      <c r="E114" s="11"/>
      <c r="F114" s="11"/>
      <c r="G114" s="11"/>
      <c r="H114" s="11"/>
      <c r="I114" s="11"/>
      <c r="J114" s="6"/>
      <c r="K114" s="6"/>
      <c r="L114" s="6"/>
      <c r="M114" s="6"/>
      <c r="N114" s="6"/>
      <c r="O114" s="6"/>
      <c r="P114" s="6"/>
      <c r="Q114" s="41"/>
      <c r="R114" s="13"/>
      <c r="S114" s="13"/>
      <c r="T114" s="13"/>
      <c r="U114" s="13"/>
      <c r="V114" s="13"/>
      <c r="W114" s="13"/>
    </row>
    <row r="115" spans="1:23">
      <c r="A115" s="10"/>
      <c r="B115" s="10"/>
      <c r="C115" s="11"/>
      <c r="D115" s="11"/>
      <c r="E115" s="11"/>
      <c r="F115" s="11"/>
      <c r="G115" s="11"/>
      <c r="H115" s="11"/>
      <c r="I115" s="11"/>
      <c r="J115" s="6"/>
      <c r="K115" s="6"/>
      <c r="L115" s="6"/>
      <c r="M115" s="6"/>
      <c r="N115" s="6"/>
      <c r="O115" s="6"/>
      <c r="P115" s="6"/>
      <c r="Q115" s="41"/>
      <c r="R115" s="13"/>
      <c r="S115" s="13"/>
      <c r="T115" s="13"/>
      <c r="U115" s="13"/>
      <c r="V115" s="13"/>
      <c r="W115" s="13"/>
    </row>
    <row r="116" spans="1:23">
      <c r="A116" s="10"/>
      <c r="B116" s="10"/>
      <c r="C116" s="11"/>
      <c r="D116" s="11"/>
      <c r="E116" s="11"/>
      <c r="F116" s="11"/>
      <c r="G116" s="11"/>
      <c r="H116" s="11"/>
      <c r="I116" s="11"/>
      <c r="J116" s="6"/>
      <c r="K116" s="6"/>
      <c r="L116" s="6"/>
      <c r="M116" s="6"/>
      <c r="N116" s="6"/>
      <c r="O116" s="6"/>
      <c r="P116" s="6"/>
      <c r="Q116" s="12"/>
      <c r="R116" s="13"/>
      <c r="S116" s="13"/>
      <c r="T116" s="13"/>
      <c r="U116" s="13"/>
      <c r="V116" s="13"/>
      <c r="W116" s="13"/>
    </row>
    <row r="117" spans="1:23">
      <c r="A117" s="10"/>
      <c r="B117" s="10"/>
      <c r="C117" s="11"/>
      <c r="D117" s="11"/>
      <c r="E117" s="11"/>
      <c r="F117" s="11"/>
      <c r="G117" s="11"/>
      <c r="H117" s="11"/>
      <c r="I117" s="11"/>
      <c r="J117" s="6"/>
      <c r="K117" s="6"/>
      <c r="L117" s="6"/>
      <c r="M117" s="6"/>
      <c r="N117" s="6"/>
      <c r="O117" s="6"/>
      <c r="P117" s="6"/>
      <c r="Q117" s="12"/>
      <c r="R117" s="13"/>
      <c r="S117" s="13"/>
      <c r="T117" s="13"/>
      <c r="U117" s="13"/>
      <c r="V117" s="13"/>
      <c r="W117" s="13"/>
    </row>
    <row r="118" spans="1:23">
      <c r="A118" s="10"/>
      <c r="B118" s="10"/>
      <c r="C118" s="11"/>
      <c r="D118" s="11"/>
      <c r="E118" s="11"/>
      <c r="F118" s="11"/>
      <c r="G118" s="11"/>
      <c r="H118" s="11"/>
      <c r="I118" s="11"/>
      <c r="J118" s="6"/>
      <c r="K118" s="6"/>
      <c r="L118" s="6"/>
      <c r="M118" s="6"/>
      <c r="N118" s="6"/>
      <c r="O118" s="6"/>
      <c r="P118" s="6"/>
      <c r="Q118" s="12"/>
      <c r="R118" s="13"/>
      <c r="S118" s="13"/>
      <c r="T118" s="13"/>
      <c r="U118" s="13"/>
      <c r="V118" s="13"/>
      <c r="W118" s="13"/>
    </row>
    <row r="119" spans="1:23">
      <c r="A119" s="10"/>
      <c r="B119" s="10"/>
      <c r="C119" s="11"/>
      <c r="D119" s="11"/>
      <c r="E119" s="11"/>
      <c r="F119" s="11"/>
      <c r="G119" s="11"/>
      <c r="H119" s="11"/>
      <c r="I119" s="11"/>
      <c r="J119" s="6"/>
      <c r="K119" s="6"/>
      <c r="L119" s="6"/>
      <c r="M119" s="6"/>
      <c r="N119" s="6"/>
      <c r="O119" s="6"/>
      <c r="P119" s="6"/>
      <c r="Q119" s="12"/>
      <c r="R119" s="13"/>
      <c r="S119" s="13"/>
      <c r="T119" s="13"/>
      <c r="U119" s="13"/>
      <c r="V119" s="13"/>
      <c r="W119" s="13"/>
    </row>
    <row r="120" spans="1:23">
      <c r="A120" s="10"/>
      <c r="B120" s="10"/>
      <c r="C120" s="11"/>
      <c r="D120" s="11"/>
      <c r="E120" s="11"/>
      <c r="F120" s="11"/>
      <c r="G120" s="11"/>
      <c r="H120" s="11"/>
      <c r="I120" s="11"/>
      <c r="J120" s="6"/>
      <c r="K120" s="6"/>
      <c r="L120" s="6"/>
      <c r="M120" s="6"/>
      <c r="N120" s="6"/>
      <c r="O120" s="6"/>
      <c r="P120" s="12"/>
      <c r="Q120" s="12"/>
      <c r="R120" s="13"/>
      <c r="S120" s="13"/>
      <c r="T120" s="13"/>
      <c r="U120" s="13"/>
      <c r="V120" s="13"/>
      <c r="W120" s="13"/>
    </row>
    <row r="121" spans="1:23">
      <c r="A121" s="10"/>
      <c r="B121" s="10"/>
      <c r="C121" s="11"/>
      <c r="D121" s="11"/>
      <c r="E121" s="11"/>
      <c r="F121" s="11"/>
      <c r="G121" s="11"/>
      <c r="H121" s="11"/>
      <c r="I121" s="11"/>
      <c r="J121" s="6"/>
      <c r="K121" s="6"/>
      <c r="L121" s="6"/>
      <c r="M121" s="6"/>
      <c r="N121" s="6"/>
      <c r="O121" s="6"/>
      <c r="P121" s="12"/>
      <c r="Q121" s="12"/>
      <c r="R121" s="6"/>
      <c r="S121" s="13"/>
      <c r="T121" s="13"/>
      <c r="U121" s="13"/>
      <c r="V121" s="13"/>
      <c r="W121" s="13"/>
    </row>
    <row r="122" spans="1:23">
      <c r="A122" s="10"/>
      <c r="B122" s="10"/>
      <c r="C122" s="11"/>
      <c r="D122" s="11"/>
      <c r="E122" s="11"/>
      <c r="F122" s="11"/>
      <c r="G122" s="11"/>
      <c r="H122" s="11"/>
      <c r="I122" s="11"/>
      <c r="J122" s="6"/>
      <c r="K122" s="6"/>
      <c r="L122" s="6"/>
      <c r="M122" s="6"/>
      <c r="N122" s="6"/>
      <c r="O122" s="6"/>
      <c r="P122" s="12"/>
      <c r="Q122" s="12"/>
      <c r="R122" s="13"/>
      <c r="S122" s="13"/>
      <c r="T122" s="13"/>
      <c r="U122" s="13"/>
      <c r="V122" s="13"/>
      <c r="W122" s="13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 activeCell="R3" sqref="R3:S5"/>
    </sheetView>
  </sheetViews>
  <sheetFormatPr defaultRowHeight="15"/>
  <cols>
    <col min="1" max="1" width="28.5703125" style="1" customWidth="1"/>
    <col min="2" max="2" width="12.85546875" style="3" customWidth="1"/>
    <col min="3" max="4" width="11.42578125" style="1" customWidth="1"/>
    <col min="5" max="5" width="5.7109375" style="3" customWidth="1"/>
    <col min="6" max="6" width="10.7109375" style="3" customWidth="1"/>
    <col min="7" max="7" width="10" style="3" customWidth="1"/>
    <col min="8" max="8" width="8.5703125" style="3" customWidth="1"/>
    <col min="9" max="13" width="9.28515625" style="4" customWidth="1"/>
    <col min="14" max="14" width="37.85546875" style="4" customWidth="1"/>
    <col min="15" max="16" width="10" style="5" customWidth="1"/>
    <col min="17" max="17" width="9.140625" style="2" customWidth="1"/>
    <col min="18" max="18" width="9.140625" style="2"/>
    <col min="19" max="19" width="15.7109375" style="2" customWidth="1"/>
    <col min="20" max="16384" width="9.140625" style="2"/>
  </cols>
  <sheetData>
    <row r="1" spans="1:19" s="17" customFormat="1" ht="15.75" thickBot="1">
      <c r="A1" s="7" t="s">
        <v>34</v>
      </c>
      <c r="B1" s="8" t="s">
        <v>1217</v>
      </c>
      <c r="C1" s="21" t="s">
        <v>200</v>
      </c>
      <c r="D1" s="21" t="s">
        <v>85</v>
      </c>
      <c r="E1" s="8" t="s">
        <v>207</v>
      </c>
      <c r="F1" s="8" t="s">
        <v>890</v>
      </c>
      <c r="G1" s="8" t="s">
        <v>0</v>
      </c>
      <c r="H1" s="8" t="s">
        <v>117</v>
      </c>
      <c r="I1" s="14" t="s">
        <v>1</v>
      </c>
      <c r="J1" s="14" t="s">
        <v>2</v>
      </c>
      <c r="K1" s="14" t="s">
        <v>3</v>
      </c>
      <c r="L1" s="14" t="s">
        <v>5</v>
      </c>
      <c r="M1" s="14" t="s">
        <v>4</v>
      </c>
      <c r="N1" s="14" t="s">
        <v>41</v>
      </c>
      <c r="O1" s="15" t="s">
        <v>52</v>
      </c>
      <c r="P1" s="16" t="s">
        <v>53</v>
      </c>
    </row>
    <row r="2" spans="1:19" ht="15.75" thickBot="1">
      <c r="A2" s="1" t="s">
        <v>269</v>
      </c>
      <c r="B2" s="3" t="s">
        <v>1225</v>
      </c>
      <c r="C2" s="1" t="s">
        <v>246</v>
      </c>
      <c r="D2" s="1" t="s">
        <v>250</v>
      </c>
      <c r="E2" s="3">
        <v>3</v>
      </c>
      <c r="F2" s="3">
        <v>10</v>
      </c>
      <c r="G2" s="3">
        <v>12</v>
      </c>
      <c r="H2" s="3">
        <v>1</v>
      </c>
      <c r="I2" s="4" t="s">
        <v>29</v>
      </c>
      <c r="J2" s="4" t="s">
        <v>18</v>
      </c>
      <c r="K2" s="4" t="s">
        <v>49</v>
      </c>
      <c r="L2" s="4" t="s">
        <v>49</v>
      </c>
      <c r="M2" s="4" t="s">
        <v>49</v>
      </c>
      <c r="O2" s="4">
        <f>IFERROR(LEFT($G2,FIND("+",$G2)-2) + MID($G2, FIND("+",$G2)+1, LEN($G2)-FIND("+",$G2)-1), IFERROR(IF(LEFT($G2,FIND("-",$G2)-2) - MID($G2, FIND("-",$G2)+1, LEN($G2)-FIND("-",$G2)-1) &gt; 0,LEFT($G2,FIND("-",$G2)-2) - MID($G2, FIND("-",$G2)+1, LEN($G2)-FIND("-",$G2)-1),1), $G2)) * (LEFT($I2,FIND("-",$I2)-1)+IFERROR(MID($I2,FIND("-",$I2)+1,FIND("+",$I2)-FIND("-",$I2)-2)+2*MID($I2,FIND("+",$I2)+1,LEN($I2)-FIND("+",$I2)-1),RIGHT($I2, LEN($I2) - FIND("-",$I2))) + LEFT($K2,FIND("-",$K2)-1)+IFERROR(MID($K2,FIND("-",$K2)+1,FIND("+",$K2)-FIND("-",$K2)-2)+2*MID($K2,FIND("+",$K2)+1,LEN($K2)-FIND("+",$K2)-1),RIGHT($K2, LEN($K2) - FIND("-",$K2))) + LEFT($L2,FIND("-",$L2)-1)+IFERROR(MID($L2,FIND("-",$L2)+1,FIND("+",$L2)-FIND("-",$L2)-2)+2*MID($L2,FIND("+",$L2)+1,LEN($L2)-FIND("+",$L2)-1),RIGHT($L2, LEN($L2) - FIND("-",$L2))) + LEFT($M2,FIND("-",$M2)-1)+IFERROR(MID($M2,FIND("-",$M2)+1,FIND("+",$M2)-FIND("-",$M2)-2)+2*MID($M2,FIND("+",$M2)+1,LEN($M2)-FIND("+",$M2)-1),RIGHT($M2, LEN($M2) - FIND("-",$M2)))) / 2</f>
        <v>54</v>
      </c>
      <c r="P2" s="4">
        <f>IFERROR(LEFT($G2,FIND("+",$G2)-2) + MID($G2, FIND("+",$G2)+1, LEN($G2)-FIND("+",$G2)-1), IFERROR(IF(LEFT($G2,FIND("-",$G2)-2) - MID($G2, FIND("-",$G2)+1, LEN($G2)-FIND("-",$G2)-1) &gt; 0,LEFT($G2,FIND("-",$G2)-2) - MID($G2, FIND("-",$G2)+1, LEN($G2)-FIND("-",$G2)-1),1), $G2)) * (LEFT($J2,FIND("-",$J2)-1)+IFERROR(MID($J2,FIND("-",$J2)+1,FIND("+",$J2)-FIND("-",$J2)-2)+2*MID($J2,FIND("+",$J2)+1,LEN($J2)-FIND("+",$J2)-1),RIGHT($J2, LEN($J2) - FIND("-",$J2)))) / 2</f>
        <v>24</v>
      </c>
      <c r="Q2" s="6"/>
    </row>
    <row r="3" spans="1:19">
      <c r="A3" s="26" t="s">
        <v>269</v>
      </c>
      <c r="B3" s="27" t="s">
        <v>1220</v>
      </c>
      <c r="C3" s="26" t="s">
        <v>246</v>
      </c>
      <c r="D3" s="26" t="s">
        <v>250</v>
      </c>
      <c r="E3" s="27">
        <v>30</v>
      </c>
      <c r="F3" s="27">
        <v>12</v>
      </c>
      <c r="G3" s="27">
        <v>11</v>
      </c>
      <c r="H3" s="27">
        <v>1</v>
      </c>
      <c r="I3" s="28" t="s">
        <v>183</v>
      </c>
      <c r="J3" s="28" t="s">
        <v>20</v>
      </c>
      <c r="K3" s="28" t="s">
        <v>49</v>
      </c>
      <c r="L3" s="28" t="s">
        <v>49</v>
      </c>
      <c r="M3" s="28" t="s">
        <v>49</v>
      </c>
      <c r="N3" s="28"/>
      <c r="O3" s="28">
        <f>IFERROR(LEFT($G3,FIND("+",$G3)-2) + MID($G3, FIND("+",$G3)+1, LEN($G3)-FIND("+",$G3)-1), IFERROR(IF(LEFT($G3,FIND("-",$G3)-2) - MID($G3, FIND("-",$G3)+1, LEN($G3)-FIND("-",$G3)-1) &gt; 0,LEFT($G3,FIND("-",$G3)-2) - MID($G3, FIND("-",$G3)+1, LEN($G3)-FIND("-",$G3)-1),1), $G3)) * (LEFT($I3,FIND("-",$I3)-1)+IFERROR(MID($I3,FIND("-",$I3)+1,FIND("+",$I3)-FIND("-",$I3)-2)+2*MID($I3,FIND("+",$I3)+1,LEN($I3)-FIND("+",$I3)-1),RIGHT($I3, LEN($I3) - FIND("-",$I3))) + LEFT($K3,FIND("-",$K3)-1)+IFERROR(MID($K3,FIND("-",$K3)+1,FIND("+",$K3)-FIND("-",$K3)-2)+2*MID($K3,FIND("+",$K3)+1,LEN($K3)-FIND("+",$K3)-1),RIGHT($K3, LEN($K3) - FIND("-",$K3))) + LEFT($L3,FIND("-",$L3)-1)+IFERROR(MID($L3,FIND("-",$L3)+1,FIND("+",$L3)-FIND("-",$L3)-2)+2*MID($L3,FIND("+",$L3)+1,LEN($L3)-FIND("+",$L3)-1),RIGHT($L3, LEN($L3) - FIND("-",$L3))) + LEFT($M3,FIND("-",$M3)-1)+IFERROR(MID($M3,FIND("-",$M3)+1,FIND("+",$M3)-FIND("-",$M3)-2)+2*MID($M3,FIND("+",$M3)+1,LEN($M3)-FIND("+",$M3)-1),RIGHT($M3, LEN($M3) - FIND("-",$M3)))) / 2</f>
        <v>55</v>
      </c>
      <c r="P3" s="28">
        <f>IFERROR(LEFT($G3,FIND("+",$G3)-2) + MID($G3, FIND("+",$G3)+1, LEN($G3)-FIND("+",$G3)-1), IFERROR(IF(LEFT($G3,FIND("-",$G3)-2) - MID($G3, FIND("-",$G3)+1, LEN($G3)-FIND("-",$G3)-1) &gt; 0,LEFT($G3,FIND("-",$G3)-2) - MID($G3, FIND("-",$G3)+1, LEN($G3)-FIND("-",$G3)-1),1), $G3)) * (LEFT($J3,FIND("-",$J3)-1)+IFERROR(MID($J3,FIND("-",$J3)+1,FIND("+",$J3)-FIND("-",$J3)-2)+2*MID($J3,FIND("+",$J3)+1,LEN($J3)-FIND("+",$J3)-1),RIGHT($J3, LEN($J3) - FIND("-",$J3)))) / 2</f>
        <v>27.5</v>
      </c>
      <c r="Q3" s="6"/>
      <c r="R3" s="35"/>
      <c r="S3" s="22" t="s">
        <v>72</v>
      </c>
    </row>
    <row r="4" spans="1:19">
      <c r="A4" s="1" t="s">
        <v>237</v>
      </c>
      <c r="B4" s="3" t="s">
        <v>1224</v>
      </c>
      <c r="C4" s="1" t="s">
        <v>212</v>
      </c>
      <c r="D4" s="1" t="s">
        <v>246</v>
      </c>
      <c r="E4" s="3">
        <v>5</v>
      </c>
      <c r="F4" s="3">
        <v>15</v>
      </c>
      <c r="G4" s="3">
        <v>8</v>
      </c>
      <c r="H4" s="3">
        <v>1</v>
      </c>
      <c r="I4" s="4" t="s">
        <v>68</v>
      </c>
      <c r="J4" s="4" t="s">
        <v>69</v>
      </c>
      <c r="K4" s="4" t="s">
        <v>49</v>
      </c>
      <c r="L4" s="4" t="s">
        <v>49</v>
      </c>
      <c r="M4" s="4" t="s">
        <v>49</v>
      </c>
      <c r="O4" s="4">
        <f t="shared" ref="O4:O29" si="0">IFERROR(LEFT($G4,FIND("+",$G4)-2) + MID($G4, FIND("+",$G4)+1, LEN($G4)-FIND("+",$G4)-1), IFERROR(IF(LEFT($G4,FIND("-",$G4)-2) - MID($G4, FIND("-",$G4)+1, LEN($G4)-FIND("-",$G4)-1) &gt; 0,LEFT($G4,FIND("-",$G4)-2) - MID($G4, FIND("-",$G4)+1, LEN($G4)-FIND("-",$G4)-1),1), $G4)) * (LEFT($I4,FIND("-",$I4)-1)+IFERROR(MID($I4,FIND("-",$I4)+1,FIND("+",$I4)-FIND("-",$I4)-2)+2*MID($I4,FIND("+",$I4)+1,LEN($I4)-FIND("+",$I4)-1),RIGHT($I4, LEN($I4) - FIND("-",$I4))) + LEFT($K4,FIND("-",$K4)-1)+IFERROR(MID($K4,FIND("-",$K4)+1,FIND("+",$K4)-FIND("-",$K4)-2)+2*MID($K4,FIND("+",$K4)+1,LEN($K4)-FIND("+",$K4)-1),RIGHT($K4, LEN($K4) - FIND("-",$K4))) + LEFT($L4,FIND("-",$L4)-1)+IFERROR(MID($L4,FIND("-",$L4)+1,FIND("+",$L4)-FIND("-",$L4)-2)+2*MID($L4,FIND("+",$L4)+1,LEN($L4)-FIND("+",$L4)-1),RIGHT($L4, LEN($L4) - FIND("-",$L4))) + LEFT($M4,FIND("-",$M4)-1)+IFERROR(MID($M4,FIND("-",$M4)+1,FIND("+",$M4)-FIND("-",$M4)-2)+2*MID($M4,FIND("+",$M4)+1,LEN($M4)-FIND("+",$M4)-1),RIGHT($M4, LEN($M4) - FIND("-",$M4)))) / 2</f>
        <v>44</v>
      </c>
      <c r="P4" s="4">
        <f t="shared" ref="P4:P29" si="1">IFERROR(LEFT($G4,FIND("+",$G4)-2) + MID($G4, FIND("+",$G4)+1, LEN($G4)-FIND("+",$G4)-1), IFERROR(IF(LEFT($G4,FIND("-",$G4)-2) - MID($G4, FIND("-",$G4)+1, LEN($G4)-FIND("-",$G4)-1) &gt; 0,LEFT($G4,FIND("-",$G4)-2) - MID($G4, FIND("-",$G4)+1, LEN($G4)-FIND("-",$G4)-1),1), $G4)) * (LEFT($J4,FIND("-",$J4)-1)+IFERROR(MID($J4,FIND("-",$J4)+1,FIND("+",$J4)-FIND("-",$J4)-2)+2*MID($J4,FIND("+",$J4)+1,LEN($J4)-FIND("+",$J4)-1),RIGHT($J4, LEN($J4) - FIND("-",$J4)))) / 2</f>
        <v>28</v>
      </c>
      <c r="Q4" s="6"/>
      <c r="R4" s="43"/>
      <c r="S4" s="44" t="s">
        <v>73</v>
      </c>
    </row>
    <row r="5" spans="1:19" ht="15.75" thickBot="1">
      <c r="A5" s="26" t="s">
        <v>237</v>
      </c>
      <c r="B5" s="27" t="s">
        <v>1224</v>
      </c>
      <c r="C5" s="26" t="s">
        <v>211</v>
      </c>
      <c r="D5" s="26" t="s">
        <v>246</v>
      </c>
      <c r="E5" s="27">
        <v>40</v>
      </c>
      <c r="F5" s="27">
        <v>20</v>
      </c>
      <c r="G5" s="27">
        <v>8</v>
      </c>
      <c r="H5" s="27">
        <v>1</v>
      </c>
      <c r="I5" s="28" t="s">
        <v>181</v>
      </c>
      <c r="J5" s="28" t="s">
        <v>193</v>
      </c>
      <c r="K5" s="28" t="s">
        <v>49</v>
      </c>
      <c r="L5" s="28" t="s">
        <v>49</v>
      </c>
      <c r="M5" s="28" t="s">
        <v>49</v>
      </c>
      <c r="N5" s="28"/>
      <c r="O5" s="28">
        <f t="shared" si="0"/>
        <v>64</v>
      </c>
      <c r="P5" s="28">
        <f t="shared" si="1"/>
        <v>32</v>
      </c>
      <c r="Q5" s="6"/>
      <c r="R5" s="51"/>
      <c r="S5" s="45" t="s">
        <v>929</v>
      </c>
    </row>
    <row r="6" spans="1:19">
      <c r="A6" s="1" t="s">
        <v>63</v>
      </c>
      <c r="B6" s="3" t="s">
        <v>1227</v>
      </c>
      <c r="C6" s="1" t="s">
        <v>210</v>
      </c>
      <c r="D6" s="1" t="s">
        <v>212</v>
      </c>
      <c r="E6" s="3">
        <v>8</v>
      </c>
      <c r="F6" s="3">
        <v>25</v>
      </c>
      <c r="G6" s="3">
        <v>4</v>
      </c>
      <c r="H6" s="3">
        <v>1</v>
      </c>
      <c r="I6" s="4" t="s">
        <v>14</v>
      </c>
      <c r="J6" s="4" t="s">
        <v>24</v>
      </c>
      <c r="K6" s="4" t="s">
        <v>49</v>
      </c>
      <c r="L6" s="4" t="s">
        <v>49</v>
      </c>
      <c r="M6" s="4" t="s">
        <v>49</v>
      </c>
      <c r="O6" s="4">
        <f t="shared" si="0"/>
        <v>26</v>
      </c>
      <c r="P6" s="4">
        <f t="shared" si="1"/>
        <v>24</v>
      </c>
      <c r="Q6" s="6"/>
    </row>
    <row r="7" spans="1:19">
      <c r="A7" s="26" t="s">
        <v>63</v>
      </c>
      <c r="B7" s="27" t="s">
        <v>1227</v>
      </c>
      <c r="C7" s="26" t="s">
        <v>293</v>
      </c>
      <c r="D7" s="26" t="s">
        <v>212</v>
      </c>
      <c r="E7" s="27">
        <v>50</v>
      </c>
      <c r="F7" s="27">
        <v>25</v>
      </c>
      <c r="G7" s="27">
        <v>6</v>
      </c>
      <c r="H7" s="27">
        <v>1</v>
      </c>
      <c r="I7" s="28" t="s">
        <v>325</v>
      </c>
      <c r="J7" s="28" t="s">
        <v>24</v>
      </c>
      <c r="K7" s="28" t="s">
        <v>49</v>
      </c>
      <c r="L7" s="28" t="s">
        <v>49</v>
      </c>
      <c r="M7" s="28" t="s">
        <v>49</v>
      </c>
      <c r="N7" s="28"/>
      <c r="O7" s="28">
        <f t="shared" si="0"/>
        <v>69</v>
      </c>
      <c r="P7" s="28">
        <f t="shared" si="1"/>
        <v>36</v>
      </c>
      <c r="Q7" s="6"/>
    </row>
    <row r="8" spans="1:19">
      <c r="A8" s="1" t="s">
        <v>271</v>
      </c>
      <c r="B8" s="3" t="s">
        <v>1222</v>
      </c>
      <c r="C8" s="1" t="s">
        <v>296</v>
      </c>
      <c r="D8" s="1" t="s">
        <v>246</v>
      </c>
      <c r="E8" s="3">
        <v>5</v>
      </c>
      <c r="F8" s="3">
        <v>15</v>
      </c>
      <c r="G8" s="3">
        <v>10</v>
      </c>
      <c r="H8" s="3">
        <v>1</v>
      </c>
      <c r="I8" s="4" t="s">
        <v>68</v>
      </c>
      <c r="J8" s="4" t="s">
        <v>69</v>
      </c>
      <c r="K8" s="4" t="s">
        <v>49</v>
      </c>
      <c r="L8" s="4" t="s">
        <v>49</v>
      </c>
      <c r="M8" s="4" t="s">
        <v>49</v>
      </c>
      <c r="N8" s="4" t="s">
        <v>272</v>
      </c>
      <c r="O8" s="4">
        <f t="shared" si="0"/>
        <v>55</v>
      </c>
      <c r="P8" s="4">
        <f t="shared" si="1"/>
        <v>35</v>
      </c>
      <c r="Q8" s="6"/>
    </row>
    <row r="9" spans="1:19">
      <c r="A9" s="26" t="s">
        <v>271</v>
      </c>
      <c r="B9" s="27" t="s">
        <v>1222</v>
      </c>
      <c r="C9" s="26" t="s">
        <v>297</v>
      </c>
      <c r="D9" s="26" t="s">
        <v>330</v>
      </c>
      <c r="E9" s="27">
        <v>35</v>
      </c>
      <c r="F9" s="27">
        <v>15</v>
      </c>
      <c r="G9" s="27">
        <v>10</v>
      </c>
      <c r="H9" s="27">
        <v>1</v>
      </c>
      <c r="I9" s="28" t="s">
        <v>273</v>
      </c>
      <c r="J9" s="28" t="s">
        <v>69</v>
      </c>
      <c r="K9" s="28" t="s">
        <v>49</v>
      </c>
      <c r="L9" s="28" t="s">
        <v>49</v>
      </c>
      <c r="M9" s="28" t="s">
        <v>49</v>
      </c>
      <c r="N9" s="28" t="s">
        <v>272</v>
      </c>
      <c r="O9" s="28">
        <f t="shared" si="0"/>
        <v>65</v>
      </c>
      <c r="P9" s="28">
        <f t="shared" si="1"/>
        <v>35</v>
      </c>
      <c r="Q9" s="6"/>
    </row>
    <row r="10" spans="1:19">
      <c r="A10" s="1" t="s">
        <v>2400</v>
      </c>
      <c r="B10" s="3" t="s">
        <v>1222</v>
      </c>
      <c r="C10" s="1" t="s">
        <v>296</v>
      </c>
      <c r="D10" s="1" t="s">
        <v>246</v>
      </c>
      <c r="E10" s="3">
        <v>5</v>
      </c>
      <c r="F10" s="3">
        <v>20</v>
      </c>
      <c r="G10" s="3">
        <v>20</v>
      </c>
      <c r="H10" s="3">
        <v>1</v>
      </c>
      <c r="I10" s="4" t="s">
        <v>146</v>
      </c>
      <c r="J10" s="4" t="s">
        <v>69</v>
      </c>
      <c r="K10" s="4" t="s">
        <v>49</v>
      </c>
      <c r="L10" s="4" t="s">
        <v>49</v>
      </c>
      <c r="M10" s="4" t="s">
        <v>49</v>
      </c>
      <c r="N10" s="4" t="s">
        <v>2490</v>
      </c>
      <c r="O10" s="4">
        <f t="shared" si="0"/>
        <v>300</v>
      </c>
      <c r="P10" s="4">
        <f t="shared" si="1"/>
        <v>70</v>
      </c>
      <c r="Q10" s="6"/>
    </row>
    <row r="11" spans="1:19">
      <c r="A11" s="26" t="s">
        <v>2400</v>
      </c>
      <c r="B11" s="27" t="s">
        <v>1222</v>
      </c>
      <c r="C11" s="26" t="s">
        <v>875</v>
      </c>
      <c r="D11" s="26" t="s">
        <v>330</v>
      </c>
      <c r="E11" s="27">
        <v>35</v>
      </c>
      <c r="F11" s="27" t="s">
        <v>452</v>
      </c>
      <c r="G11" s="27" t="s">
        <v>454</v>
      </c>
      <c r="H11" s="27">
        <v>1</v>
      </c>
      <c r="I11" s="28" t="s">
        <v>46</v>
      </c>
      <c r="J11" s="28" t="s">
        <v>77</v>
      </c>
      <c r="K11" s="28" t="s">
        <v>49</v>
      </c>
      <c r="L11" s="28" t="s">
        <v>49</v>
      </c>
      <c r="M11" s="28" t="s">
        <v>49</v>
      </c>
      <c r="N11" s="28" t="s">
        <v>2491</v>
      </c>
      <c r="O11" s="28">
        <f t="shared" si="0"/>
        <v>200</v>
      </c>
      <c r="P11" s="28">
        <f t="shared" si="1"/>
        <v>90</v>
      </c>
      <c r="Q11" s="6"/>
    </row>
    <row r="12" spans="1:19">
      <c r="A12" s="1" t="s">
        <v>274</v>
      </c>
      <c r="B12" s="3" t="s">
        <v>1224</v>
      </c>
      <c r="C12" s="1" t="s">
        <v>203</v>
      </c>
      <c r="D12" s="1" t="s">
        <v>246</v>
      </c>
      <c r="E12" s="3">
        <v>5</v>
      </c>
      <c r="F12" s="3">
        <v>20</v>
      </c>
      <c r="G12" s="3">
        <v>8</v>
      </c>
      <c r="H12" s="3">
        <v>1</v>
      </c>
      <c r="I12" s="4" t="s">
        <v>14</v>
      </c>
      <c r="J12" s="4" t="s">
        <v>24</v>
      </c>
      <c r="K12" s="4" t="s">
        <v>49</v>
      </c>
      <c r="L12" s="4" t="s">
        <v>49</v>
      </c>
      <c r="M12" s="4" t="s">
        <v>49</v>
      </c>
      <c r="N12" s="4" t="s">
        <v>275</v>
      </c>
      <c r="O12" s="4">
        <f t="shared" si="0"/>
        <v>52</v>
      </c>
      <c r="P12" s="4">
        <f t="shared" si="1"/>
        <v>48</v>
      </c>
      <c r="Q12" s="6"/>
    </row>
    <row r="13" spans="1:19">
      <c r="A13" s="26" t="s">
        <v>274</v>
      </c>
      <c r="B13" s="27" t="s">
        <v>1224</v>
      </c>
      <c r="C13" s="26" t="s">
        <v>283</v>
      </c>
      <c r="D13" s="26" t="s">
        <v>246</v>
      </c>
      <c r="E13" s="27">
        <v>40</v>
      </c>
      <c r="F13" s="27">
        <v>20</v>
      </c>
      <c r="G13" s="27">
        <v>8</v>
      </c>
      <c r="H13" s="27">
        <v>1</v>
      </c>
      <c r="I13" s="28" t="s">
        <v>281</v>
      </c>
      <c r="J13" s="28" t="s">
        <v>77</v>
      </c>
      <c r="K13" s="28" t="s">
        <v>49</v>
      </c>
      <c r="L13" s="28" t="s">
        <v>49</v>
      </c>
      <c r="M13" s="28" t="s">
        <v>49</v>
      </c>
      <c r="N13" s="28" t="s">
        <v>275</v>
      </c>
      <c r="O13" s="28">
        <f t="shared" si="0"/>
        <v>68</v>
      </c>
      <c r="P13" s="28">
        <f t="shared" si="1"/>
        <v>36</v>
      </c>
      <c r="Q13" s="6"/>
    </row>
    <row r="14" spans="1:19">
      <c r="A14" s="1" t="s">
        <v>276</v>
      </c>
      <c r="B14" s="3" t="s">
        <v>1230</v>
      </c>
      <c r="C14" s="1" t="s">
        <v>286</v>
      </c>
      <c r="D14" s="1" t="s">
        <v>246</v>
      </c>
      <c r="E14" s="3">
        <v>5</v>
      </c>
      <c r="F14" s="3">
        <v>20</v>
      </c>
      <c r="G14" s="3">
        <v>8</v>
      </c>
      <c r="H14" s="3">
        <v>1</v>
      </c>
      <c r="I14" s="4" t="s">
        <v>1767</v>
      </c>
      <c r="J14" s="4" t="s">
        <v>69</v>
      </c>
      <c r="K14" s="4" t="s">
        <v>49</v>
      </c>
      <c r="L14" s="4" t="s">
        <v>49</v>
      </c>
      <c r="M14" s="4" t="s">
        <v>49</v>
      </c>
      <c r="O14" s="4">
        <f t="shared" si="0"/>
        <v>60</v>
      </c>
      <c r="P14" s="4">
        <f t="shared" si="1"/>
        <v>28</v>
      </c>
      <c r="Q14" s="6"/>
    </row>
    <row r="15" spans="1:19">
      <c r="A15" s="26" t="s">
        <v>276</v>
      </c>
      <c r="B15" s="27" t="s">
        <v>1224</v>
      </c>
      <c r="C15" s="26" t="s">
        <v>380</v>
      </c>
      <c r="D15" s="26" t="s">
        <v>2275</v>
      </c>
      <c r="E15" s="27">
        <v>40</v>
      </c>
      <c r="F15" s="27">
        <v>20</v>
      </c>
      <c r="G15" s="27">
        <v>9</v>
      </c>
      <c r="H15" s="27">
        <v>1</v>
      </c>
      <c r="I15" s="28" t="s">
        <v>1768</v>
      </c>
      <c r="J15" s="28" t="s">
        <v>1759</v>
      </c>
      <c r="K15" s="28" t="s">
        <v>49</v>
      </c>
      <c r="L15" s="28" t="s">
        <v>49</v>
      </c>
      <c r="M15" s="28" t="s">
        <v>49</v>
      </c>
      <c r="N15" s="28" t="s">
        <v>2492</v>
      </c>
      <c r="O15" s="28">
        <f t="shared" si="0"/>
        <v>103.5</v>
      </c>
      <c r="P15" s="28">
        <f t="shared" si="1"/>
        <v>49.5</v>
      </c>
      <c r="Q15" s="6"/>
    </row>
    <row r="16" spans="1:19">
      <c r="A16" s="1" t="s">
        <v>277</v>
      </c>
      <c r="B16" s="3" t="s">
        <v>1230</v>
      </c>
      <c r="C16" s="1" t="s">
        <v>287</v>
      </c>
      <c r="D16" s="1" t="s">
        <v>246</v>
      </c>
      <c r="E16" s="3">
        <v>5</v>
      </c>
      <c r="F16" s="3">
        <v>20</v>
      </c>
      <c r="G16" s="3">
        <v>8</v>
      </c>
      <c r="H16" s="3">
        <v>1</v>
      </c>
      <c r="I16" s="4" t="s">
        <v>1769</v>
      </c>
      <c r="J16" s="4" t="s">
        <v>69</v>
      </c>
      <c r="K16" s="4" t="s">
        <v>49</v>
      </c>
      <c r="L16" s="4" t="s">
        <v>49</v>
      </c>
      <c r="M16" s="4" t="s">
        <v>49</v>
      </c>
      <c r="O16" s="4">
        <f t="shared" si="0"/>
        <v>76</v>
      </c>
      <c r="P16" s="4">
        <f t="shared" si="1"/>
        <v>28</v>
      </c>
      <c r="Q16" s="6"/>
    </row>
    <row r="17" spans="1:20">
      <c r="A17" s="26" t="s">
        <v>277</v>
      </c>
      <c r="B17" s="27" t="s">
        <v>1224</v>
      </c>
      <c r="C17" s="26" t="s">
        <v>223</v>
      </c>
      <c r="D17" s="26" t="s">
        <v>2271</v>
      </c>
      <c r="E17" s="27">
        <v>40</v>
      </c>
      <c r="F17" s="27">
        <v>20</v>
      </c>
      <c r="G17" s="27">
        <v>9</v>
      </c>
      <c r="H17" s="27">
        <v>1</v>
      </c>
      <c r="I17" s="28" t="s">
        <v>1770</v>
      </c>
      <c r="J17" s="28" t="s">
        <v>1760</v>
      </c>
      <c r="K17" s="28" t="s">
        <v>49</v>
      </c>
      <c r="L17" s="28" t="s">
        <v>49</v>
      </c>
      <c r="M17" s="28" t="s">
        <v>49</v>
      </c>
      <c r="N17" s="28" t="s">
        <v>2493</v>
      </c>
      <c r="O17" s="28">
        <f t="shared" si="0"/>
        <v>130.5</v>
      </c>
      <c r="P17" s="28">
        <f t="shared" si="1"/>
        <v>58.5</v>
      </c>
      <c r="Q17" s="6"/>
    </row>
    <row r="18" spans="1:20">
      <c r="A18" s="1" t="s">
        <v>278</v>
      </c>
      <c r="B18" s="3" t="s">
        <v>1230</v>
      </c>
      <c r="C18" s="1" t="s">
        <v>288</v>
      </c>
      <c r="D18" s="1" t="s">
        <v>246</v>
      </c>
      <c r="E18" s="3">
        <v>5</v>
      </c>
      <c r="F18" s="3">
        <v>20</v>
      </c>
      <c r="G18" s="3">
        <v>8</v>
      </c>
      <c r="H18" s="3">
        <v>1</v>
      </c>
      <c r="I18" s="4" t="s">
        <v>1771</v>
      </c>
      <c r="J18" s="4" t="s">
        <v>69</v>
      </c>
      <c r="K18" s="4" t="s">
        <v>49</v>
      </c>
      <c r="L18" s="4" t="s">
        <v>49</v>
      </c>
      <c r="M18" s="4" t="s">
        <v>49</v>
      </c>
      <c r="O18" s="4">
        <f t="shared" si="0"/>
        <v>92</v>
      </c>
      <c r="P18" s="4">
        <f t="shared" si="1"/>
        <v>28</v>
      </c>
      <c r="Q18" s="6"/>
    </row>
    <row r="19" spans="1:20">
      <c r="A19" s="26" t="s">
        <v>278</v>
      </c>
      <c r="B19" s="27" t="s">
        <v>1224</v>
      </c>
      <c r="C19" s="26" t="s">
        <v>536</v>
      </c>
      <c r="D19" s="26" t="s">
        <v>2276</v>
      </c>
      <c r="E19" s="27">
        <v>40</v>
      </c>
      <c r="F19" s="27">
        <v>20</v>
      </c>
      <c r="G19" s="27">
        <v>9</v>
      </c>
      <c r="H19" s="27">
        <v>1</v>
      </c>
      <c r="I19" s="28" t="s">
        <v>1766</v>
      </c>
      <c r="J19" s="28" t="s">
        <v>1761</v>
      </c>
      <c r="K19" s="28" t="s">
        <v>49</v>
      </c>
      <c r="L19" s="28" t="s">
        <v>49</v>
      </c>
      <c r="M19" s="28" t="s">
        <v>49</v>
      </c>
      <c r="N19" s="28" t="s">
        <v>2494</v>
      </c>
      <c r="O19" s="28">
        <f t="shared" si="0"/>
        <v>157.5</v>
      </c>
      <c r="P19" s="28">
        <f t="shared" si="1"/>
        <v>67.5</v>
      </c>
      <c r="Q19" s="6"/>
    </row>
    <row r="20" spans="1:20">
      <c r="A20" s="1" t="s">
        <v>279</v>
      </c>
      <c r="B20" s="3" t="s">
        <v>1230</v>
      </c>
      <c r="C20" s="1" t="s">
        <v>289</v>
      </c>
      <c r="D20" s="1" t="s">
        <v>246</v>
      </c>
      <c r="E20" s="3">
        <v>5</v>
      </c>
      <c r="F20" s="3">
        <v>20</v>
      </c>
      <c r="G20" s="3">
        <v>8</v>
      </c>
      <c r="H20" s="3">
        <v>1</v>
      </c>
      <c r="I20" s="4" t="s">
        <v>1765</v>
      </c>
      <c r="J20" s="4" t="s">
        <v>69</v>
      </c>
      <c r="K20" s="4" t="s">
        <v>49</v>
      </c>
      <c r="L20" s="4" t="s">
        <v>49</v>
      </c>
      <c r="M20" s="4" t="s">
        <v>49</v>
      </c>
      <c r="O20" s="4">
        <f t="shared" si="0"/>
        <v>108</v>
      </c>
      <c r="P20" s="4">
        <f t="shared" si="1"/>
        <v>28</v>
      </c>
      <c r="Q20" s="6"/>
    </row>
    <row r="21" spans="1:20">
      <c r="A21" s="26" t="s">
        <v>2289</v>
      </c>
      <c r="B21" s="27" t="s">
        <v>1224</v>
      </c>
      <c r="C21" s="26" t="s">
        <v>268</v>
      </c>
      <c r="D21" s="26" t="s">
        <v>2272</v>
      </c>
      <c r="E21" s="27">
        <v>40</v>
      </c>
      <c r="F21" s="27">
        <v>20</v>
      </c>
      <c r="G21" s="27">
        <v>9</v>
      </c>
      <c r="H21" s="27">
        <v>1</v>
      </c>
      <c r="I21" s="28" t="s">
        <v>1764</v>
      </c>
      <c r="J21" s="28" t="s">
        <v>1762</v>
      </c>
      <c r="K21" s="28" t="s">
        <v>49</v>
      </c>
      <c r="L21" s="28" t="s">
        <v>49</v>
      </c>
      <c r="M21" s="28" t="s">
        <v>49</v>
      </c>
      <c r="N21" s="28" t="s">
        <v>2495</v>
      </c>
      <c r="O21" s="28">
        <f t="shared" si="0"/>
        <v>184.5</v>
      </c>
      <c r="P21" s="28">
        <f t="shared" si="1"/>
        <v>76.5</v>
      </c>
      <c r="Q21" s="6"/>
    </row>
    <row r="22" spans="1:20">
      <c r="A22" s="48" t="s">
        <v>95</v>
      </c>
      <c r="B22" s="48" t="s">
        <v>1222</v>
      </c>
      <c r="C22" s="49" t="s">
        <v>338</v>
      </c>
      <c r="D22" s="49" t="s">
        <v>212</v>
      </c>
      <c r="E22" s="49" t="s">
        <v>211</v>
      </c>
      <c r="F22" s="50">
        <v>15</v>
      </c>
      <c r="G22" s="50">
        <v>5</v>
      </c>
      <c r="H22" s="50">
        <v>1</v>
      </c>
      <c r="I22" s="49" t="s">
        <v>55</v>
      </c>
      <c r="J22" s="49" t="s">
        <v>68</v>
      </c>
      <c r="K22" s="49" t="s">
        <v>49</v>
      </c>
      <c r="L22" s="49" t="s">
        <v>49</v>
      </c>
      <c r="M22" s="49" t="s">
        <v>49</v>
      </c>
      <c r="N22" s="49"/>
      <c r="O22" s="49">
        <f>IFERROR(LEFT($G22,FIND("+",$G22)-2) + MID($G22, FIND("+",$G22)+1, LEN($G22)-FIND("+",$G22)-1), IFERROR(IF(LEFT($G22,FIND("-",$G22)-2) - MID($G22, FIND("-",$G22)+1, LEN($G22)-FIND("-",$G22)-1) &gt; 0,LEFT($G22,FIND("-",$G22)-2) - MID($G22, FIND("-",$G22)+1, LEN($G22)-FIND("-",$G22)-1),1), $G22)) * (LEFT($I22,FIND("-",$I22)-1)+IFERROR(MID($I22,FIND("-",$I22)+1,FIND("+",$I22)-FIND("-",$I22)-2)+2*MID($I22,FIND("+",$I22)+1,LEN($I22)-FIND("+",$I22)-1),RIGHT($I22, LEN($I22) - FIND("-",$I22))) + LEFT($K22,FIND("-",$K22)-1)+IFERROR(MID($K22,FIND("-",$K22)+1,FIND("+",$K22)-FIND("-",$K22)-2)+2*MID($K22,FIND("+",$K22)+1,LEN($K22)-FIND("+",$K22)-1),RIGHT($K22, LEN($K22) - FIND("-",$K22))) + LEFT($L22,FIND("-",$L22)-1)+IFERROR(MID($L22,FIND("-",$L22)+1,FIND("+",$L22)-FIND("-",$L22)-2)+2*MID($L22,FIND("+",$L22)+1,LEN($L22)-FIND("+",$L22)-1),RIGHT($L22, LEN($L22) - FIND("-",$L22))) + LEFT($M22,FIND("-",$M22)-1)+IFERROR(MID($M22,FIND("-",$M22)+1,FIND("+",$M22)-FIND("-",$M22)-2)+2*MID($M22,FIND("+",$M22)+1,LEN($M22)-FIND("+",$M22)-1),RIGHT($M22, LEN($M22) - FIND("-",$M22)))) / 2</f>
        <v>50</v>
      </c>
      <c r="P22" s="49">
        <f>IFERROR(LEFT($G22,FIND("+",$G22)-2) + MID($G22, FIND("+",$G22)+1, LEN($G22)-FIND("+",$G22)-1), IFERROR(IF(LEFT($G22,FIND("-",$G22)-2) - MID($G22, FIND("-",$G22)+1, LEN($G22)-FIND("-",$G22)-1) &gt; 0,LEFT($G22,FIND("-",$G22)-2) - MID($G22, FIND("-",$G22)+1, LEN($G22)-FIND("-",$G22)-1),1), $G22)) * (LEFT($J22,FIND("-",$J22)-1)+IFERROR(MID($J22,FIND("-",$J22)+1,FIND("+",$J22)-FIND("-",$J22)-2)+2*MID($J22,FIND("+",$J22)+1,LEN($J22)-FIND("+",$J22)-1),RIGHT($J22, LEN($J22) - FIND("-",$J22)))) / 2</f>
        <v>27.5</v>
      </c>
    </row>
    <row r="23" spans="1:20">
      <c r="A23" s="26" t="s">
        <v>1999</v>
      </c>
      <c r="B23" s="48" t="s">
        <v>1264</v>
      </c>
      <c r="C23" s="28" t="s">
        <v>658</v>
      </c>
      <c r="D23" s="28" t="s">
        <v>212</v>
      </c>
      <c r="E23" s="28" t="s">
        <v>211</v>
      </c>
      <c r="F23" s="27">
        <v>20</v>
      </c>
      <c r="G23" s="27">
        <v>4</v>
      </c>
      <c r="H23" s="27">
        <v>1</v>
      </c>
      <c r="I23" s="28" t="s">
        <v>97</v>
      </c>
      <c r="J23" s="28" t="s">
        <v>56</v>
      </c>
      <c r="K23" s="28" t="s">
        <v>49</v>
      </c>
      <c r="L23" s="28" t="s">
        <v>49</v>
      </c>
      <c r="M23" s="28" t="s">
        <v>49</v>
      </c>
      <c r="N23" s="49" t="s">
        <v>2496</v>
      </c>
      <c r="O23" s="28">
        <f>IFERROR(LEFT($G23,FIND("+",$G23)-2) + MID($G23, FIND("+",$G23)+1, LEN($G23)-FIND("+",$G23)-1), IFERROR(IF(LEFT($G23,FIND("-",$G23)-2) - MID($G23, FIND("-",$G23)+1, LEN($G23)-FIND("-",$G23)-1) &gt; 0,LEFT($G23,FIND("-",$G23)-2) - MID($G23, FIND("-",$G23)+1, LEN($G23)-FIND("-",$G23)-1),1), $G23)) * (LEFT($I23,FIND("-",$I23)-1)+IFERROR(MID($I23,FIND("-",$I23)+1,FIND("+",$I23)-FIND("-",$I23)-2)+2*MID($I23,FIND("+",$I23)+1,LEN($I23)-FIND("+",$I23)-1),RIGHT($I23, LEN($I23) - FIND("-",$I23))) + LEFT($K23,FIND("-",$K23)-1)+IFERROR(MID($K23,FIND("-",$K23)+1,FIND("+",$K23)-FIND("-",$K23)-2)+2*MID($K23,FIND("+",$K23)+1,LEN($K23)-FIND("+",$K23)-1),RIGHT($K23, LEN($K23) - FIND("-",$K23))) + LEFT($L23,FIND("-",$L23)-1)+IFERROR(MID($L23,FIND("-",$L23)+1,FIND("+",$L23)-FIND("-",$L23)-2)+2*MID($L23,FIND("+",$L23)+1,LEN($L23)-FIND("+",$L23)-1),RIGHT($L23, LEN($L23) - FIND("-",$L23))) + LEFT($M23,FIND("-",$M23)-1)+IFERROR(MID($M23,FIND("-",$M23)+1,FIND("+",$M23)-FIND("-",$M23)-2)+2*MID($M23,FIND("+",$M23)+1,LEN($M23)-FIND("+",$M23)-1),RIGHT($M23, LEN($M23) - FIND("-",$M23)))) / 2</f>
        <v>70</v>
      </c>
      <c r="P23" s="28">
        <f>IFERROR(LEFT($G23,FIND("+",$G23)-2) + MID($G23, FIND("+",$G23)+1, LEN($G23)-FIND("+",$G23)-1), IFERROR(IF(LEFT($G23,FIND("-",$G23)-2) - MID($G23, FIND("-",$G23)+1, LEN($G23)-FIND("-",$G23)-1) &gt; 0,LEFT($G23,FIND("-",$G23)-2) - MID($G23, FIND("-",$G23)+1, LEN($G23)-FIND("-",$G23)-1),1), $G23)) * (LEFT($J23,FIND("-",$J23)-1)+IFERROR(MID($J23,FIND("-",$J23)+1,FIND("+",$J23)-FIND("-",$J23)-2)+2*MID($J23,FIND("+",$J23)+1,LEN($J23)-FIND("+",$J23)-1),RIGHT($J23, LEN($J23) - FIND("-",$J23)))) / 2</f>
        <v>50</v>
      </c>
    </row>
    <row r="24" spans="1:20">
      <c r="A24" s="1" t="s">
        <v>64</v>
      </c>
      <c r="B24" s="3" t="s">
        <v>1224</v>
      </c>
      <c r="C24" s="1" t="s">
        <v>282</v>
      </c>
      <c r="D24" s="1" t="s">
        <v>212</v>
      </c>
      <c r="E24" s="3">
        <v>10</v>
      </c>
      <c r="F24" s="3">
        <v>15</v>
      </c>
      <c r="G24" s="3">
        <v>6</v>
      </c>
      <c r="H24" s="3">
        <v>1</v>
      </c>
      <c r="I24" s="4" t="s">
        <v>67</v>
      </c>
      <c r="J24" s="4" t="s">
        <v>24</v>
      </c>
      <c r="K24" s="4" t="s">
        <v>49</v>
      </c>
      <c r="L24" s="4" t="s">
        <v>49</v>
      </c>
      <c r="M24" s="4" t="s">
        <v>49</v>
      </c>
      <c r="O24" s="4">
        <f t="shared" si="0"/>
        <v>69</v>
      </c>
      <c r="P24" s="4">
        <f t="shared" si="1"/>
        <v>36</v>
      </c>
      <c r="Q24" s="6"/>
      <c r="R24" s="13"/>
      <c r="S24" s="13"/>
      <c r="T24" s="13"/>
    </row>
    <row r="25" spans="1:20">
      <c r="A25" s="26" t="s">
        <v>64</v>
      </c>
      <c r="B25" s="27" t="s">
        <v>1223</v>
      </c>
      <c r="C25" s="26" t="s">
        <v>204</v>
      </c>
      <c r="D25" s="26" t="s">
        <v>246</v>
      </c>
      <c r="E25" s="27">
        <v>45</v>
      </c>
      <c r="F25" s="27">
        <v>22</v>
      </c>
      <c r="G25" s="27">
        <v>9</v>
      </c>
      <c r="H25" s="27">
        <v>1</v>
      </c>
      <c r="I25" s="28" t="s">
        <v>325</v>
      </c>
      <c r="J25" s="28" t="s">
        <v>113</v>
      </c>
      <c r="K25" s="28" t="s">
        <v>49</v>
      </c>
      <c r="L25" s="28" t="s">
        <v>49</v>
      </c>
      <c r="M25" s="28" t="s">
        <v>49</v>
      </c>
      <c r="N25" s="28" t="s">
        <v>2474</v>
      </c>
      <c r="O25" s="28">
        <f t="shared" si="0"/>
        <v>103.5</v>
      </c>
      <c r="P25" s="28">
        <f t="shared" si="1"/>
        <v>49.5</v>
      </c>
      <c r="Q25" s="6"/>
      <c r="R25" s="13"/>
      <c r="S25" s="13"/>
      <c r="T25" s="13"/>
    </row>
    <row r="26" spans="1:20">
      <c r="A26" s="1" t="s">
        <v>65</v>
      </c>
      <c r="B26" s="3" t="s">
        <v>1224</v>
      </c>
      <c r="C26" s="1" t="s">
        <v>285</v>
      </c>
      <c r="D26" s="1" t="s">
        <v>246</v>
      </c>
      <c r="E26" s="3">
        <v>5</v>
      </c>
      <c r="F26" s="3">
        <v>20</v>
      </c>
      <c r="G26" s="3">
        <v>8</v>
      </c>
      <c r="H26" s="3">
        <v>1</v>
      </c>
      <c r="I26" s="4" t="s">
        <v>68</v>
      </c>
      <c r="J26" s="4" t="s">
        <v>69</v>
      </c>
      <c r="K26" s="4" t="s">
        <v>49</v>
      </c>
      <c r="L26" s="4" t="s">
        <v>49</v>
      </c>
      <c r="M26" s="4" t="s">
        <v>22</v>
      </c>
      <c r="O26" s="4">
        <f t="shared" si="0"/>
        <v>204</v>
      </c>
      <c r="P26" s="4">
        <f t="shared" si="1"/>
        <v>28</v>
      </c>
      <c r="Q26" s="6"/>
      <c r="R26" s="13"/>
      <c r="S26" s="13"/>
      <c r="T26" s="13"/>
    </row>
    <row r="27" spans="1:20">
      <c r="A27" s="26" t="s">
        <v>65</v>
      </c>
      <c r="B27" s="50" t="s">
        <v>1391</v>
      </c>
      <c r="C27" s="26" t="s">
        <v>606</v>
      </c>
      <c r="D27" s="26" t="s">
        <v>246</v>
      </c>
      <c r="E27" s="27">
        <v>55</v>
      </c>
      <c r="F27" s="27">
        <v>20</v>
      </c>
      <c r="G27" s="27">
        <v>8</v>
      </c>
      <c r="H27" s="27">
        <v>1</v>
      </c>
      <c r="I27" s="28" t="s">
        <v>46</v>
      </c>
      <c r="J27" s="28" t="s">
        <v>113</v>
      </c>
      <c r="K27" s="28" t="s">
        <v>49</v>
      </c>
      <c r="L27" s="28" t="s">
        <v>49</v>
      </c>
      <c r="M27" s="28" t="s">
        <v>97</v>
      </c>
      <c r="N27" s="28"/>
      <c r="O27" s="28">
        <f t="shared" si="0"/>
        <v>220</v>
      </c>
      <c r="P27" s="28">
        <f t="shared" si="1"/>
        <v>44</v>
      </c>
      <c r="Q27" s="6"/>
      <c r="R27" s="13"/>
      <c r="S27" s="13"/>
      <c r="T27" s="13"/>
    </row>
    <row r="28" spans="1:20">
      <c r="A28" s="1" t="s">
        <v>66</v>
      </c>
      <c r="B28" s="3" t="s">
        <v>1224</v>
      </c>
      <c r="C28" s="1" t="s">
        <v>284</v>
      </c>
      <c r="D28" s="1" t="s">
        <v>246</v>
      </c>
      <c r="E28" s="3">
        <v>5</v>
      </c>
      <c r="F28" s="3">
        <v>20</v>
      </c>
      <c r="G28" s="3">
        <v>8</v>
      </c>
      <c r="H28" s="3">
        <v>1</v>
      </c>
      <c r="I28" s="4" t="s">
        <v>68</v>
      </c>
      <c r="J28" s="4" t="s">
        <v>69</v>
      </c>
      <c r="K28" s="4" t="s">
        <v>23</v>
      </c>
      <c r="L28" s="4" t="s">
        <v>49</v>
      </c>
      <c r="M28" s="4" t="s">
        <v>49</v>
      </c>
      <c r="O28" s="4">
        <f t="shared" si="0"/>
        <v>144</v>
      </c>
      <c r="P28" s="4">
        <f t="shared" si="1"/>
        <v>28</v>
      </c>
      <c r="Q28" s="6"/>
    </row>
    <row r="29" spans="1:20">
      <c r="A29" s="26" t="s">
        <v>66</v>
      </c>
      <c r="B29" s="50" t="s">
        <v>1241</v>
      </c>
      <c r="C29" s="26" t="s">
        <v>1538</v>
      </c>
      <c r="D29" s="26" t="s">
        <v>246</v>
      </c>
      <c r="E29" s="27">
        <v>55</v>
      </c>
      <c r="F29" s="27">
        <v>20</v>
      </c>
      <c r="G29" s="27">
        <v>8</v>
      </c>
      <c r="H29" s="27">
        <v>1</v>
      </c>
      <c r="I29" s="28" t="s">
        <v>46</v>
      </c>
      <c r="J29" s="28" t="s">
        <v>113</v>
      </c>
      <c r="K29" s="28" t="s">
        <v>56</v>
      </c>
      <c r="L29" s="28" t="s">
        <v>49</v>
      </c>
      <c r="M29" s="28" t="s">
        <v>49</v>
      </c>
      <c r="N29" s="28" t="s">
        <v>1250</v>
      </c>
      <c r="O29" s="28">
        <f t="shared" si="0"/>
        <v>180</v>
      </c>
      <c r="P29" s="28">
        <f t="shared" si="1"/>
        <v>44</v>
      </c>
      <c r="Q29" s="6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W85"/>
  <sheetViews>
    <sheetView workbookViewId="0">
      <pane ySplit="1" topLeftCell="A2" activePane="bottomLeft" state="frozen"/>
      <selection pane="bottomLeft" activeCell="N3" sqref="N3:O5"/>
    </sheetView>
  </sheetViews>
  <sheetFormatPr defaultRowHeight="15"/>
  <cols>
    <col min="1" max="1" width="35" customWidth="1"/>
    <col min="2" max="2" width="11.42578125" style="34" customWidth="1"/>
    <col min="3" max="3" width="11.42578125" style="4" customWidth="1"/>
    <col min="4" max="4" width="10" style="34" customWidth="1"/>
    <col min="5" max="11" width="7.85546875" style="4" customWidth="1"/>
    <col min="12" max="12" width="55.7109375" customWidth="1"/>
    <col min="13" max="13" width="9.140625" customWidth="1"/>
    <col min="15" max="15" width="15.7109375" customWidth="1"/>
    <col min="16" max="16" width="9.140625" customWidth="1"/>
  </cols>
  <sheetData>
    <row r="1" spans="1:19" s="18" customFormat="1" ht="15.75" thickBot="1">
      <c r="A1" s="7" t="s">
        <v>34</v>
      </c>
      <c r="B1" s="21" t="s">
        <v>200</v>
      </c>
      <c r="C1" s="14" t="s">
        <v>85</v>
      </c>
      <c r="D1" s="21" t="s">
        <v>207</v>
      </c>
      <c r="E1" s="14" t="s">
        <v>1634</v>
      </c>
      <c r="F1" s="14" t="s">
        <v>1953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42</v>
      </c>
      <c r="L1" s="9" t="s">
        <v>41</v>
      </c>
    </row>
    <row r="2" spans="1:19" s="1" customFormat="1" ht="15.75" thickBot="1">
      <c r="A2" s="1" t="s">
        <v>673</v>
      </c>
      <c r="B2" s="4" t="s">
        <v>501</v>
      </c>
      <c r="C2" s="4" t="s">
        <v>501</v>
      </c>
      <c r="D2" s="4" t="s">
        <v>247</v>
      </c>
      <c r="E2" s="4"/>
      <c r="F2" s="4" t="s">
        <v>495</v>
      </c>
      <c r="G2" s="4" t="s">
        <v>665</v>
      </c>
      <c r="H2" s="4"/>
      <c r="I2" s="4"/>
      <c r="J2" s="4"/>
      <c r="K2" s="4"/>
    </row>
    <row r="3" spans="1:19" s="1" customFormat="1">
      <c r="A3" s="26" t="s">
        <v>673</v>
      </c>
      <c r="B3" s="28" t="s">
        <v>501</v>
      </c>
      <c r="C3" s="28" t="s">
        <v>247</v>
      </c>
      <c r="D3" s="28" t="s">
        <v>247</v>
      </c>
      <c r="E3" s="28"/>
      <c r="F3" s="28" t="s">
        <v>665</v>
      </c>
      <c r="G3" s="28" t="s">
        <v>495</v>
      </c>
      <c r="H3" s="28"/>
      <c r="I3" s="28"/>
      <c r="J3" s="28"/>
      <c r="K3" s="28"/>
      <c r="L3" s="26"/>
      <c r="N3" s="35"/>
      <c r="O3" s="22" t="s">
        <v>72</v>
      </c>
    </row>
    <row r="4" spans="1:19" s="1" customFormat="1">
      <c r="A4" s="1" t="s">
        <v>672</v>
      </c>
      <c r="B4" s="4" t="s">
        <v>248</v>
      </c>
      <c r="C4" s="4" t="s">
        <v>501</v>
      </c>
      <c r="D4" s="4" t="s">
        <v>247</v>
      </c>
      <c r="E4" s="4"/>
      <c r="F4" s="4" t="s">
        <v>495</v>
      </c>
      <c r="G4" s="4" t="s">
        <v>665</v>
      </c>
      <c r="H4" s="4"/>
      <c r="I4" s="4"/>
      <c r="J4" s="4"/>
      <c r="K4" s="4"/>
      <c r="N4" s="43"/>
      <c r="O4" s="44" t="s">
        <v>73</v>
      </c>
    </row>
    <row r="5" spans="1:19" s="1" customFormat="1" ht="15.75" thickBot="1">
      <c r="A5" s="26" t="s">
        <v>672</v>
      </c>
      <c r="B5" s="28" t="s">
        <v>247</v>
      </c>
      <c r="C5" s="28" t="s">
        <v>247</v>
      </c>
      <c r="D5" s="28" t="s">
        <v>247</v>
      </c>
      <c r="E5" s="28"/>
      <c r="F5" s="28" t="s">
        <v>665</v>
      </c>
      <c r="G5" s="28" t="s">
        <v>495</v>
      </c>
      <c r="H5" s="28"/>
      <c r="I5" s="28"/>
      <c r="J5" s="28"/>
      <c r="K5" s="28"/>
      <c r="L5" s="26"/>
      <c r="N5" s="51"/>
      <c r="O5" s="45" t="s">
        <v>929</v>
      </c>
    </row>
    <row r="6" spans="1:19" s="1" customFormat="1">
      <c r="A6" s="1" t="s">
        <v>671</v>
      </c>
      <c r="B6" s="4" t="s">
        <v>248</v>
      </c>
      <c r="C6" s="4" t="s">
        <v>501</v>
      </c>
      <c r="D6" s="4" t="s">
        <v>247</v>
      </c>
      <c r="E6" s="4"/>
      <c r="F6" s="4" t="s">
        <v>495</v>
      </c>
      <c r="G6" s="4" t="s">
        <v>665</v>
      </c>
      <c r="H6" s="4"/>
      <c r="I6" s="4"/>
      <c r="J6" s="4"/>
      <c r="K6" s="4"/>
    </row>
    <row r="7" spans="1:19" s="1" customFormat="1">
      <c r="A7" s="26" t="s">
        <v>676</v>
      </c>
      <c r="B7" s="28" t="s">
        <v>248</v>
      </c>
      <c r="C7" s="28" t="s">
        <v>247</v>
      </c>
      <c r="D7" s="28" t="s">
        <v>247</v>
      </c>
      <c r="E7" s="28"/>
      <c r="F7" s="28" t="s">
        <v>665</v>
      </c>
      <c r="G7" s="28" t="s">
        <v>495</v>
      </c>
      <c r="H7" s="28"/>
      <c r="I7" s="28"/>
      <c r="J7" s="28"/>
      <c r="K7" s="28"/>
      <c r="L7" s="26" t="s">
        <v>677</v>
      </c>
    </row>
    <row r="8" spans="1:19" s="1" customFormat="1">
      <c r="A8" s="1" t="s">
        <v>674</v>
      </c>
      <c r="B8" s="4" t="s">
        <v>248</v>
      </c>
      <c r="C8" s="4" t="s">
        <v>501</v>
      </c>
      <c r="D8" s="4" t="s">
        <v>247</v>
      </c>
      <c r="E8" s="4"/>
      <c r="F8" s="4" t="s">
        <v>495</v>
      </c>
      <c r="G8" s="4" t="s">
        <v>665</v>
      </c>
      <c r="H8" s="4"/>
      <c r="I8" s="4"/>
      <c r="J8" s="4"/>
      <c r="K8" s="4"/>
      <c r="L8" s="1" t="s">
        <v>667</v>
      </c>
    </row>
    <row r="9" spans="1:19" s="1" customFormat="1">
      <c r="A9" s="26" t="s">
        <v>674</v>
      </c>
      <c r="B9" s="28" t="s">
        <v>210</v>
      </c>
      <c r="C9" s="28" t="s">
        <v>247</v>
      </c>
      <c r="D9" s="28" t="s">
        <v>247</v>
      </c>
      <c r="E9" s="28"/>
      <c r="F9" s="28" t="s">
        <v>665</v>
      </c>
      <c r="G9" s="28" t="s">
        <v>495</v>
      </c>
      <c r="H9" s="28"/>
      <c r="I9" s="28"/>
      <c r="J9" s="28"/>
      <c r="K9" s="28"/>
      <c r="L9" s="26" t="s">
        <v>1494</v>
      </c>
      <c r="M9" s="10"/>
      <c r="N9" s="10"/>
      <c r="O9" s="10"/>
      <c r="P9" s="10"/>
      <c r="Q9" s="10"/>
      <c r="R9" s="10"/>
      <c r="S9" s="10"/>
    </row>
    <row r="10" spans="1:19" s="1" customFormat="1">
      <c r="A10" s="1" t="s">
        <v>675</v>
      </c>
      <c r="B10" s="4" t="s">
        <v>413</v>
      </c>
      <c r="C10" s="4" t="s">
        <v>501</v>
      </c>
      <c r="D10" s="4" t="s">
        <v>247</v>
      </c>
      <c r="E10" s="4" t="s">
        <v>365</v>
      </c>
      <c r="F10" s="4" t="s">
        <v>495</v>
      </c>
      <c r="G10" s="4" t="s">
        <v>665</v>
      </c>
      <c r="H10" s="4"/>
      <c r="I10" s="4"/>
      <c r="J10" s="4"/>
      <c r="K10" s="4"/>
      <c r="L10" s="1" t="s">
        <v>667</v>
      </c>
    </row>
    <row r="11" spans="1:19" s="1" customFormat="1">
      <c r="A11" s="26" t="s">
        <v>675</v>
      </c>
      <c r="B11" s="28" t="s">
        <v>413</v>
      </c>
      <c r="C11" s="28" t="s">
        <v>247</v>
      </c>
      <c r="D11" s="28" t="s">
        <v>247</v>
      </c>
      <c r="E11" s="28" t="s">
        <v>1557</v>
      </c>
      <c r="F11" s="28" t="s">
        <v>665</v>
      </c>
      <c r="G11" s="28" t="s">
        <v>495</v>
      </c>
      <c r="H11" s="28"/>
      <c r="I11" s="28"/>
      <c r="J11" s="28"/>
      <c r="K11" s="28"/>
      <c r="L11" s="26" t="s">
        <v>667</v>
      </c>
    </row>
    <row r="12" spans="1:19" s="1" customFormat="1">
      <c r="A12" s="1" t="s">
        <v>670</v>
      </c>
      <c r="B12" s="4" t="s">
        <v>501</v>
      </c>
      <c r="C12" s="4" t="s">
        <v>501</v>
      </c>
      <c r="D12" s="4" t="s">
        <v>247</v>
      </c>
      <c r="E12" s="4"/>
      <c r="F12" s="4" t="s">
        <v>495</v>
      </c>
      <c r="G12" s="4" t="s">
        <v>665</v>
      </c>
      <c r="H12" s="4"/>
      <c r="I12" s="4"/>
      <c r="J12" s="4"/>
      <c r="K12" s="4"/>
    </row>
    <row r="13" spans="1:19" s="1" customFormat="1">
      <c r="A13" s="26" t="s">
        <v>670</v>
      </c>
      <c r="B13" s="28" t="s">
        <v>501</v>
      </c>
      <c r="C13" s="28" t="s">
        <v>247</v>
      </c>
      <c r="D13" s="28" t="s">
        <v>247</v>
      </c>
      <c r="E13" s="28"/>
      <c r="F13" s="28" t="s">
        <v>665</v>
      </c>
      <c r="G13" s="28" t="s">
        <v>495</v>
      </c>
      <c r="H13" s="28"/>
      <c r="I13" s="28"/>
      <c r="J13" s="28"/>
      <c r="K13" s="28"/>
      <c r="L13" s="26"/>
    </row>
    <row r="14" spans="1:19" s="1" customFormat="1">
      <c r="A14" s="1" t="s">
        <v>669</v>
      </c>
      <c r="B14" s="4" t="s">
        <v>248</v>
      </c>
      <c r="C14" s="4" t="s">
        <v>501</v>
      </c>
      <c r="D14" s="4" t="s">
        <v>247</v>
      </c>
      <c r="E14" s="4"/>
      <c r="F14" s="4" t="s">
        <v>495</v>
      </c>
      <c r="G14" s="4" t="s">
        <v>665</v>
      </c>
      <c r="H14" s="4"/>
      <c r="I14" s="4"/>
      <c r="J14" s="4"/>
      <c r="K14" s="4"/>
    </row>
    <row r="15" spans="1:19" s="1" customFormat="1">
      <c r="A15" s="26" t="s">
        <v>669</v>
      </c>
      <c r="B15" s="28" t="s">
        <v>247</v>
      </c>
      <c r="C15" s="28" t="s">
        <v>247</v>
      </c>
      <c r="D15" s="28" t="s">
        <v>247</v>
      </c>
      <c r="E15" s="28"/>
      <c r="F15" s="28" t="s">
        <v>665</v>
      </c>
      <c r="G15" s="28" t="s">
        <v>495</v>
      </c>
      <c r="H15" s="28"/>
      <c r="I15" s="28"/>
      <c r="J15" s="28"/>
      <c r="K15" s="28"/>
      <c r="L15" s="26"/>
    </row>
    <row r="16" spans="1:19" s="1" customFormat="1">
      <c r="A16" s="1" t="s">
        <v>666</v>
      </c>
      <c r="B16" s="4" t="s">
        <v>248</v>
      </c>
      <c r="C16" s="4" t="s">
        <v>501</v>
      </c>
      <c r="D16" s="4" t="s">
        <v>247</v>
      </c>
      <c r="E16" s="4"/>
      <c r="F16" s="4" t="s">
        <v>495</v>
      </c>
      <c r="G16" s="4" t="s">
        <v>665</v>
      </c>
      <c r="H16" s="4"/>
      <c r="I16" s="4"/>
      <c r="J16" s="4"/>
      <c r="K16" s="4"/>
    </row>
    <row r="17" spans="1:23" s="1" customFormat="1">
      <c r="A17" s="26" t="s">
        <v>666</v>
      </c>
      <c r="B17" s="28" t="s">
        <v>248</v>
      </c>
      <c r="C17" s="28" t="s">
        <v>247</v>
      </c>
      <c r="D17" s="28" t="s">
        <v>247</v>
      </c>
      <c r="E17" s="28"/>
      <c r="F17" s="28" t="s">
        <v>665</v>
      </c>
      <c r="G17" s="28" t="s">
        <v>495</v>
      </c>
      <c r="H17" s="28"/>
      <c r="I17" s="28"/>
      <c r="J17" s="28"/>
      <c r="K17" s="28"/>
      <c r="L17" s="26" t="s">
        <v>677</v>
      </c>
    </row>
    <row r="18" spans="1:23" s="1" customFormat="1">
      <c r="A18" s="1" t="s">
        <v>668</v>
      </c>
      <c r="B18" s="4" t="s">
        <v>248</v>
      </c>
      <c r="C18" s="4" t="s">
        <v>501</v>
      </c>
      <c r="D18" s="4" t="s">
        <v>247</v>
      </c>
      <c r="E18" s="4"/>
      <c r="F18" s="4" t="s">
        <v>495</v>
      </c>
      <c r="G18" s="4" t="s">
        <v>665</v>
      </c>
      <c r="H18" s="4"/>
      <c r="I18" s="4"/>
      <c r="J18" s="4"/>
      <c r="K18" s="4"/>
      <c r="L18" s="1" t="s">
        <v>667</v>
      </c>
    </row>
    <row r="19" spans="1:23" s="1" customFormat="1">
      <c r="A19" s="26" t="s">
        <v>668</v>
      </c>
      <c r="B19" s="28" t="s">
        <v>210</v>
      </c>
      <c r="C19" s="28" t="s">
        <v>247</v>
      </c>
      <c r="D19" s="28" t="s">
        <v>247</v>
      </c>
      <c r="E19" s="28"/>
      <c r="F19" s="28" t="s">
        <v>665</v>
      </c>
      <c r="G19" s="28" t="s">
        <v>495</v>
      </c>
      <c r="H19" s="28"/>
      <c r="I19" s="28"/>
      <c r="J19" s="28"/>
      <c r="K19" s="28"/>
      <c r="L19" s="26" t="s">
        <v>1494</v>
      </c>
    </row>
    <row r="20" spans="1:23" s="1" customFormat="1">
      <c r="A20" s="1" t="s">
        <v>678</v>
      </c>
      <c r="B20" s="4" t="s">
        <v>250</v>
      </c>
      <c r="C20" s="4" t="s">
        <v>332</v>
      </c>
      <c r="D20" s="4" t="s">
        <v>153</v>
      </c>
      <c r="E20" s="4"/>
      <c r="F20" s="4" t="s">
        <v>161</v>
      </c>
      <c r="G20" s="4" t="s">
        <v>495</v>
      </c>
      <c r="H20" s="4"/>
      <c r="I20" s="4"/>
      <c r="J20" s="4"/>
      <c r="K20" s="4"/>
    </row>
    <row r="21" spans="1:23" s="1" customFormat="1">
      <c r="A21" s="26" t="s">
        <v>678</v>
      </c>
      <c r="B21" s="28" t="s">
        <v>812</v>
      </c>
      <c r="C21" s="28" t="s">
        <v>248</v>
      </c>
      <c r="D21" s="28" t="s">
        <v>845</v>
      </c>
      <c r="E21" s="28"/>
      <c r="F21" s="28" t="s">
        <v>495</v>
      </c>
      <c r="G21" s="28" t="s">
        <v>161</v>
      </c>
      <c r="H21" s="28"/>
      <c r="I21" s="28"/>
      <c r="J21" s="28"/>
      <c r="K21" s="28"/>
      <c r="L21" s="26"/>
    </row>
    <row r="22" spans="1:23" s="1" customFormat="1">
      <c r="A22" s="1" t="s">
        <v>614</v>
      </c>
      <c r="B22" s="4" t="s">
        <v>630</v>
      </c>
      <c r="C22" s="4" t="s">
        <v>246</v>
      </c>
      <c r="D22" s="4" t="s">
        <v>248</v>
      </c>
      <c r="E22" s="4"/>
      <c r="F22" s="4" t="s">
        <v>161</v>
      </c>
      <c r="G22" s="4" t="s">
        <v>161</v>
      </c>
      <c r="H22" s="4" t="s">
        <v>615</v>
      </c>
      <c r="I22" s="4"/>
      <c r="J22" s="4"/>
      <c r="K22" s="4"/>
    </row>
    <row r="23" spans="1:23" s="1" customFormat="1">
      <c r="A23" s="26" t="s">
        <v>614</v>
      </c>
      <c r="B23" s="28" t="s">
        <v>630</v>
      </c>
      <c r="C23" s="28" t="s">
        <v>250</v>
      </c>
      <c r="D23" s="28" t="s">
        <v>248</v>
      </c>
      <c r="E23" s="28"/>
      <c r="F23" s="28" t="s">
        <v>495</v>
      </c>
      <c r="G23" s="28" t="s">
        <v>157</v>
      </c>
      <c r="H23" s="28"/>
      <c r="I23" s="28"/>
      <c r="J23" s="28"/>
      <c r="K23" s="28"/>
      <c r="L23" s="26"/>
    </row>
    <row r="24" spans="1:23" s="1" customFormat="1">
      <c r="A24" s="1" t="s">
        <v>612</v>
      </c>
      <c r="B24" s="4" t="s">
        <v>250</v>
      </c>
      <c r="C24" s="4" t="s">
        <v>246</v>
      </c>
      <c r="D24" s="4" t="s">
        <v>248</v>
      </c>
      <c r="E24" s="4"/>
      <c r="F24" s="4" t="s">
        <v>161</v>
      </c>
      <c r="G24" s="4" t="s">
        <v>495</v>
      </c>
      <c r="H24" s="4" t="s">
        <v>613</v>
      </c>
      <c r="I24" s="4"/>
      <c r="J24" s="4"/>
      <c r="K24" s="4" t="s">
        <v>153</v>
      </c>
      <c r="L24" s="1" t="s">
        <v>638</v>
      </c>
    </row>
    <row r="25" spans="1:23" s="1" customFormat="1">
      <c r="A25" s="26" t="s">
        <v>612</v>
      </c>
      <c r="B25" s="28" t="s">
        <v>246</v>
      </c>
      <c r="C25" s="28" t="s">
        <v>250</v>
      </c>
      <c r="D25" s="28" t="s">
        <v>248</v>
      </c>
      <c r="E25" s="28"/>
      <c r="F25" s="28" t="s">
        <v>495</v>
      </c>
      <c r="G25" s="28" t="s">
        <v>157</v>
      </c>
      <c r="H25" s="28" t="s">
        <v>365</v>
      </c>
      <c r="I25" s="28"/>
      <c r="J25" s="28"/>
      <c r="K25" s="28" t="s">
        <v>153</v>
      </c>
      <c r="L25" s="26" t="s">
        <v>638</v>
      </c>
    </row>
    <row r="26" spans="1:23" s="1" customFormat="1">
      <c r="A26" s="1" t="s">
        <v>979</v>
      </c>
      <c r="B26" s="4" t="s">
        <v>985</v>
      </c>
      <c r="C26" s="4" t="s">
        <v>332</v>
      </c>
      <c r="D26" s="4" t="s">
        <v>501</v>
      </c>
      <c r="E26" s="4"/>
      <c r="F26" s="4" t="s">
        <v>617</v>
      </c>
      <c r="G26" s="4" t="s">
        <v>155</v>
      </c>
      <c r="H26" s="4"/>
      <c r="I26" s="4"/>
      <c r="J26" s="4"/>
      <c r="K26" s="4"/>
    </row>
    <row r="27" spans="1:23" s="1" customFormat="1">
      <c r="A27" s="26" t="s">
        <v>978</v>
      </c>
      <c r="B27" s="28" t="s">
        <v>209</v>
      </c>
      <c r="C27" s="28" t="s">
        <v>250</v>
      </c>
      <c r="D27" s="28" t="s">
        <v>249</v>
      </c>
      <c r="E27" s="28"/>
      <c r="F27" s="28" t="s">
        <v>161</v>
      </c>
      <c r="G27" s="28" t="s">
        <v>154</v>
      </c>
      <c r="H27" s="28" t="s">
        <v>495</v>
      </c>
      <c r="I27" s="28"/>
      <c r="J27" s="28"/>
      <c r="K27" s="28"/>
      <c r="L27" s="2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s="1" customFormat="1">
      <c r="A28" s="1" t="s">
        <v>618</v>
      </c>
      <c r="B28" s="4" t="s">
        <v>201</v>
      </c>
      <c r="C28" s="4" t="s">
        <v>246</v>
      </c>
      <c r="D28" s="4" t="s">
        <v>248</v>
      </c>
      <c r="E28" s="4"/>
      <c r="F28" s="4" t="s">
        <v>158</v>
      </c>
      <c r="G28" s="4" t="s">
        <v>617</v>
      </c>
      <c r="H28" s="4" t="s">
        <v>161</v>
      </c>
      <c r="I28" s="4"/>
      <c r="J28" s="4"/>
      <c r="K28" s="4"/>
    </row>
    <row r="29" spans="1:23" s="1" customFormat="1">
      <c r="A29" s="26" t="s">
        <v>625</v>
      </c>
      <c r="B29" s="28" t="s">
        <v>201</v>
      </c>
      <c r="C29" s="28" t="s">
        <v>812</v>
      </c>
      <c r="D29" s="28" t="s">
        <v>249</v>
      </c>
      <c r="E29" s="28" t="s">
        <v>631</v>
      </c>
      <c r="F29" s="28" t="s">
        <v>157</v>
      </c>
      <c r="G29" s="28" t="s">
        <v>617</v>
      </c>
      <c r="H29" s="28" t="s">
        <v>161</v>
      </c>
      <c r="I29" s="28"/>
      <c r="J29" s="28"/>
      <c r="K29" s="28"/>
      <c r="L29" s="26"/>
    </row>
    <row r="30" spans="1:23" s="1" customFormat="1">
      <c r="A30" s="1" t="s">
        <v>978</v>
      </c>
      <c r="B30" s="4" t="s">
        <v>571</v>
      </c>
      <c r="C30" s="4" t="s">
        <v>248</v>
      </c>
      <c r="D30" s="4" t="s">
        <v>248</v>
      </c>
      <c r="E30" s="4"/>
      <c r="F30" s="4" t="s">
        <v>154</v>
      </c>
      <c r="G30" s="4" t="s">
        <v>153</v>
      </c>
      <c r="H30" s="4" t="s">
        <v>161</v>
      </c>
      <c r="I30" s="4"/>
      <c r="J30" s="4"/>
      <c r="K30" s="4"/>
    </row>
    <row r="31" spans="1:23" s="1" customFormat="1">
      <c r="A31" s="26" t="s">
        <v>979</v>
      </c>
      <c r="B31" s="28" t="s">
        <v>203</v>
      </c>
      <c r="C31" s="28" t="s">
        <v>630</v>
      </c>
      <c r="D31" s="28" t="s">
        <v>812</v>
      </c>
      <c r="E31" s="28"/>
      <c r="F31" s="28" t="s">
        <v>158</v>
      </c>
      <c r="G31" s="28" t="s">
        <v>153</v>
      </c>
      <c r="H31" s="28" t="s">
        <v>157</v>
      </c>
      <c r="I31" s="28"/>
      <c r="J31" s="28"/>
      <c r="K31" s="28"/>
      <c r="L31" s="26"/>
      <c r="M31" s="10"/>
      <c r="N31" s="10"/>
      <c r="O31" s="10"/>
      <c r="P31" s="10"/>
      <c r="Q31" s="10"/>
      <c r="R31" s="10"/>
      <c r="S31" s="10"/>
    </row>
    <row r="32" spans="1:23" s="1" customFormat="1">
      <c r="A32" s="1" t="s">
        <v>980</v>
      </c>
      <c r="B32" s="4" t="s">
        <v>630</v>
      </c>
      <c r="C32" s="4" t="s">
        <v>332</v>
      </c>
      <c r="D32" s="4" t="s">
        <v>332</v>
      </c>
      <c r="E32" s="4"/>
      <c r="F32" s="4" t="s">
        <v>161</v>
      </c>
      <c r="G32" s="4" t="s">
        <v>161</v>
      </c>
      <c r="H32" s="4" t="s">
        <v>495</v>
      </c>
      <c r="I32" s="4"/>
      <c r="J32" s="4"/>
      <c r="K32" s="4"/>
    </row>
    <row r="33" spans="1:18" s="1" customFormat="1">
      <c r="A33" s="26" t="s">
        <v>980</v>
      </c>
      <c r="B33" s="28" t="s">
        <v>565</v>
      </c>
      <c r="C33" s="28" t="s">
        <v>630</v>
      </c>
      <c r="D33" s="28" t="s">
        <v>630</v>
      </c>
      <c r="E33" s="28"/>
      <c r="F33" s="28" t="s">
        <v>154</v>
      </c>
      <c r="G33" s="28" t="s">
        <v>155</v>
      </c>
      <c r="H33" s="28" t="s">
        <v>157</v>
      </c>
      <c r="I33" s="28"/>
      <c r="J33" s="28"/>
      <c r="K33" s="28"/>
      <c r="L33" s="26"/>
      <c r="M33" s="10"/>
      <c r="N33" s="10"/>
      <c r="O33" s="10"/>
      <c r="P33" s="10"/>
      <c r="Q33" s="10"/>
      <c r="R33" s="10"/>
    </row>
    <row r="34" spans="1:18" s="1" customFormat="1">
      <c r="A34" s="1" t="s">
        <v>986</v>
      </c>
      <c r="B34" s="4" t="s">
        <v>571</v>
      </c>
      <c r="C34" s="4" t="s">
        <v>248</v>
      </c>
      <c r="D34" s="4" t="s">
        <v>248</v>
      </c>
      <c r="E34" s="4"/>
      <c r="F34" s="4" t="s">
        <v>154</v>
      </c>
      <c r="G34" s="4" t="s">
        <v>153</v>
      </c>
      <c r="H34" s="4" t="s">
        <v>161</v>
      </c>
      <c r="I34" s="4"/>
      <c r="J34" s="4"/>
      <c r="K34" s="4"/>
    </row>
    <row r="35" spans="1:18" s="1" customFormat="1">
      <c r="A35" s="26" t="s">
        <v>986</v>
      </c>
      <c r="B35" s="28" t="s">
        <v>283</v>
      </c>
      <c r="C35" s="28" t="s">
        <v>246</v>
      </c>
      <c r="D35" s="28" t="s">
        <v>212</v>
      </c>
      <c r="E35" s="28"/>
      <c r="F35" s="28" t="s">
        <v>617</v>
      </c>
      <c r="G35" s="28" t="s">
        <v>160</v>
      </c>
      <c r="H35" s="28" t="s">
        <v>158</v>
      </c>
      <c r="I35" s="28"/>
      <c r="J35" s="28"/>
      <c r="K35" s="28"/>
      <c r="L35" s="26"/>
    </row>
    <row r="36" spans="1:18" s="1" customFormat="1">
      <c r="A36" s="1" t="s">
        <v>57</v>
      </c>
      <c r="B36" s="4" t="s">
        <v>338</v>
      </c>
      <c r="C36" s="4">
        <v>80</v>
      </c>
      <c r="D36" s="4" t="s">
        <v>412</v>
      </c>
      <c r="E36" s="4">
        <v>-10</v>
      </c>
      <c r="F36" s="4">
        <v>9</v>
      </c>
      <c r="G36" s="4">
        <v>16</v>
      </c>
      <c r="H36" s="4">
        <v>5</v>
      </c>
      <c r="I36" s="4"/>
      <c r="J36" s="4"/>
      <c r="K36" s="4"/>
    </row>
    <row r="37" spans="1:18" s="1" customFormat="1">
      <c r="A37" s="26" t="s">
        <v>57</v>
      </c>
      <c r="B37" s="28" t="s">
        <v>338</v>
      </c>
      <c r="C37" s="28" t="s">
        <v>212</v>
      </c>
      <c r="D37" s="28" t="s">
        <v>412</v>
      </c>
      <c r="E37" s="28">
        <v>-10</v>
      </c>
      <c r="F37" s="28">
        <v>9</v>
      </c>
      <c r="G37" s="28">
        <v>16</v>
      </c>
      <c r="H37" s="28" t="s">
        <v>154</v>
      </c>
      <c r="I37" s="28"/>
      <c r="J37" s="28"/>
      <c r="K37" s="28"/>
      <c r="L37" s="26"/>
    </row>
    <row r="38" spans="1:18" s="1" customFormat="1">
      <c r="A38" s="1" t="s">
        <v>339</v>
      </c>
      <c r="B38" s="4" t="s">
        <v>338</v>
      </c>
      <c r="C38" s="4">
        <v>80</v>
      </c>
      <c r="D38" s="4" t="s">
        <v>412</v>
      </c>
      <c r="E38" s="4">
        <v>-10</v>
      </c>
      <c r="F38" s="4">
        <v>9</v>
      </c>
      <c r="G38" s="4">
        <v>16</v>
      </c>
      <c r="H38" s="4">
        <v>5</v>
      </c>
      <c r="I38" s="4"/>
      <c r="J38" s="4"/>
      <c r="K38" s="4"/>
    </row>
    <row r="39" spans="1:18" s="1" customFormat="1">
      <c r="A39" s="26" t="s">
        <v>339</v>
      </c>
      <c r="B39" s="28" t="s">
        <v>204</v>
      </c>
      <c r="C39" s="28" t="s">
        <v>331</v>
      </c>
      <c r="D39" s="28" t="s">
        <v>412</v>
      </c>
      <c r="E39" s="28">
        <v>-8</v>
      </c>
      <c r="F39" s="28">
        <v>9</v>
      </c>
      <c r="G39" s="28">
        <v>17</v>
      </c>
      <c r="H39" s="28" t="s">
        <v>617</v>
      </c>
      <c r="I39" s="28"/>
      <c r="J39" s="28"/>
      <c r="K39" s="28"/>
      <c r="L39" s="26"/>
    </row>
    <row r="40" spans="1:18" s="1" customFormat="1">
      <c r="A40" s="1" t="s">
        <v>340</v>
      </c>
      <c r="B40" s="4" t="s">
        <v>204</v>
      </c>
      <c r="C40" s="4">
        <v>80</v>
      </c>
      <c r="D40" s="4" t="s">
        <v>412</v>
      </c>
      <c r="E40" s="4"/>
      <c r="F40" s="4">
        <v>9</v>
      </c>
      <c r="G40" s="4">
        <v>16</v>
      </c>
      <c r="H40" s="4">
        <v>5</v>
      </c>
      <c r="I40" s="4"/>
      <c r="J40" s="4"/>
      <c r="K40" s="4"/>
    </row>
    <row r="41" spans="1:18" s="1" customFormat="1">
      <c r="A41" s="26" t="s">
        <v>341</v>
      </c>
      <c r="B41" s="28" t="s">
        <v>382</v>
      </c>
      <c r="C41" s="28" t="s">
        <v>212</v>
      </c>
      <c r="D41" s="28" t="s">
        <v>703</v>
      </c>
      <c r="E41" s="28"/>
      <c r="F41" s="28">
        <v>9</v>
      </c>
      <c r="G41" s="28">
        <v>16</v>
      </c>
      <c r="H41" s="28">
        <v>8</v>
      </c>
      <c r="I41" s="28"/>
      <c r="J41" s="28"/>
      <c r="K41" s="28"/>
      <c r="L41" s="26"/>
    </row>
    <row r="42" spans="1:18" s="1" customFormat="1">
      <c r="A42" s="1" t="s">
        <v>58</v>
      </c>
      <c r="B42" s="4" t="s">
        <v>264</v>
      </c>
      <c r="C42" s="4">
        <v>80</v>
      </c>
      <c r="D42" s="4" t="s">
        <v>203</v>
      </c>
      <c r="E42" s="4">
        <v>-20</v>
      </c>
      <c r="F42" s="4">
        <v>8</v>
      </c>
      <c r="G42" s="4">
        <v>14</v>
      </c>
      <c r="H42" s="4">
        <v>5</v>
      </c>
      <c r="I42" s="4"/>
      <c r="J42" s="4"/>
      <c r="K42" s="4"/>
      <c r="L42" s="1" t="s">
        <v>145</v>
      </c>
    </row>
    <row r="43" spans="1:18" s="1" customFormat="1">
      <c r="A43" s="26" t="s">
        <v>74</v>
      </c>
      <c r="B43" s="28" t="s">
        <v>342</v>
      </c>
      <c r="C43" s="28" t="s">
        <v>331</v>
      </c>
      <c r="D43" s="28" t="s">
        <v>201</v>
      </c>
      <c r="E43" s="28">
        <v>-15</v>
      </c>
      <c r="F43" s="28">
        <v>9</v>
      </c>
      <c r="G43" s="28">
        <v>18</v>
      </c>
      <c r="H43" s="28" t="s">
        <v>154</v>
      </c>
      <c r="I43" s="28">
        <v>-5</v>
      </c>
      <c r="J43" s="28"/>
      <c r="K43" s="28"/>
      <c r="L43" s="26" t="s">
        <v>2174</v>
      </c>
    </row>
    <row r="44" spans="1:18" s="1" customFormat="1">
      <c r="A44" s="1" t="s">
        <v>343</v>
      </c>
      <c r="B44" s="4" t="s">
        <v>382</v>
      </c>
      <c r="C44" s="4">
        <v>100</v>
      </c>
      <c r="D44" s="4" t="s">
        <v>204</v>
      </c>
      <c r="E44" s="4">
        <v>-10</v>
      </c>
      <c r="F44" s="4">
        <v>10</v>
      </c>
      <c r="G44" s="4">
        <v>16</v>
      </c>
      <c r="H44" s="4">
        <v>5</v>
      </c>
      <c r="I44" s="4"/>
      <c r="J44" s="4"/>
      <c r="K44" s="4"/>
    </row>
    <row r="45" spans="1:18" s="1" customFormat="1">
      <c r="A45" s="26" t="s">
        <v>343</v>
      </c>
      <c r="B45" s="28" t="s">
        <v>383</v>
      </c>
      <c r="C45" s="28" t="s">
        <v>211</v>
      </c>
      <c r="D45" s="28" t="s">
        <v>413</v>
      </c>
      <c r="E45" s="28">
        <v>-10</v>
      </c>
      <c r="F45" s="28">
        <v>10</v>
      </c>
      <c r="G45" s="28">
        <v>18</v>
      </c>
      <c r="H45" s="28">
        <v>10</v>
      </c>
      <c r="I45" s="28"/>
      <c r="J45" s="28"/>
      <c r="K45" s="28"/>
      <c r="L45" s="26"/>
    </row>
    <row r="46" spans="1:18" s="1" customFormat="1">
      <c r="A46" s="10" t="s">
        <v>344</v>
      </c>
      <c r="B46" s="6" t="s">
        <v>345</v>
      </c>
      <c r="C46" s="6">
        <v>150</v>
      </c>
      <c r="D46" s="6" t="s">
        <v>204</v>
      </c>
      <c r="E46" s="6">
        <v>-25</v>
      </c>
      <c r="F46" s="6">
        <v>12</v>
      </c>
      <c r="G46" s="6">
        <v>23</v>
      </c>
      <c r="H46" s="6">
        <v>5</v>
      </c>
      <c r="I46" s="6">
        <v>-10</v>
      </c>
      <c r="J46" s="6"/>
      <c r="K46" s="6"/>
      <c r="L46" s="10"/>
    </row>
    <row r="47" spans="1:18" s="1" customFormat="1">
      <c r="A47" s="26" t="s">
        <v>344</v>
      </c>
      <c r="B47" s="28" t="s">
        <v>1359</v>
      </c>
      <c r="C47" s="28">
        <v>200</v>
      </c>
      <c r="D47" s="28" t="s">
        <v>204</v>
      </c>
      <c r="E47" s="28">
        <v>-25</v>
      </c>
      <c r="F47" s="28">
        <v>13</v>
      </c>
      <c r="G47" s="28">
        <v>24</v>
      </c>
      <c r="H47" s="28">
        <v>7</v>
      </c>
      <c r="I47" s="28">
        <v>-15</v>
      </c>
      <c r="J47" s="28"/>
      <c r="K47" s="28"/>
      <c r="L47" s="26"/>
    </row>
    <row r="48" spans="1:18" s="1" customFormat="1">
      <c r="A48" s="40" t="s">
        <v>752</v>
      </c>
      <c r="B48" s="39" t="s">
        <v>1359</v>
      </c>
      <c r="C48" s="39">
        <v>200</v>
      </c>
      <c r="D48" s="39" t="s">
        <v>380</v>
      </c>
      <c r="E48" s="39">
        <v>-25</v>
      </c>
      <c r="F48" s="39">
        <v>13</v>
      </c>
      <c r="G48" s="39">
        <v>24</v>
      </c>
      <c r="H48" s="39">
        <v>7</v>
      </c>
      <c r="I48" s="39">
        <v>-15</v>
      </c>
      <c r="J48" s="39"/>
      <c r="K48" s="39"/>
      <c r="L48" s="40"/>
      <c r="M48" s="10"/>
      <c r="N48" s="10"/>
      <c r="O48" s="10"/>
      <c r="P48" s="10"/>
      <c r="Q48" s="10"/>
    </row>
    <row r="49" spans="1:19" s="1" customFormat="1">
      <c r="A49" s="10" t="s">
        <v>346</v>
      </c>
      <c r="B49" s="6" t="s">
        <v>345</v>
      </c>
      <c r="C49" s="6">
        <v>150</v>
      </c>
      <c r="D49" s="6" t="s">
        <v>204</v>
      </c>
      <c r="E49" s="6">
        <v>-25</v>
      </c>
      <c r="F49" s="6">
        <v>12</v>
      </c>
      <c r="G49" s="6">
        <v>23</v>
      </c>
      <c r="H49" s="6">
        <v>5</v>
      </c>
      <c r="I49" s="6">
        <v>-10</v>
      </c>
      <c r="J49" s="6"/>
      <c r="K49" s="6"/>
      <c r="L49" s="10"/>
    </row>
    <row r="50" spans="1:19" s="1" customFormat="1">
      <c r="A50" s="26" t="s">
        <v>346</v>
      </c>
      <c r="B50" s="28" t="s">
        <v>347</v>
      </c>
      <c r="C50" s="28">
        <v>220</v>
      </c>
      <c r="D50" s="28" t="s">
        <v>204</v>
      </c>
      <c r="E50" s="28">
        <v>-20</v>
      </c>
      <c r="F50" s="28">
        <v>13</v>
      </c>
      <c r="G50" s="28">
        <v>25</v>
      </c>
      <c r="H50" s="28">
        <v>8</v>
      </c>
      <c r="I50" s="28" t="s">
        <v>1360</v>
      </c>
      <c r="J50" s="28"/>
      <c r="K50" s="28"/>
      <c r="L50" s="26"/>
      <c r="M50" s="10"/>
      <c r="N50" s="10"/>
      <c r="O50" s="10"/>
    </row>
    <row r="51" spans="1:19" s="1" customFormat="1">
      <c r="A51" s="10" t="s">
        <v>348</v>
      </c>
      <c r="B51" s="6" t="s">
        <v>349</v>
      </c>
      <c r="C51" s="6">
        <v>150</v>
      </c>
      <c r="D51" s="6" t="s">
        <v>204</v>
      </c>
      <c r="E51" s="6">
        <v>-10</v>
      </c>
      <c r="F51" s="6">
        <v>12</v>
      </c>
      <c r="G51" s="6">
        <v>23</v>
      </c>
      <c r="H51" s="6">
        <v>5</v>
      </c>
      <c r="I51" s="6">
        <v>-10</v>
      </c>
      <c r="J51" s="6"/>
      <c r="K51" s="6"/>
      <c r="L51" s="10"/>
    </row>
    <row r="52" spans="1:19" s="1" customFormat="1">
      <c r="A52" s="26" t="s">
        <v>348</v>
      </c>
      <c r="B52" s="28" t="s">
        <v>350</v>
      </c>
      <c r="C52" s="28">
        <v>210</v>
      </c>
      <c r="D52" s="28" t="s">
        <v>204</v>
      </c>
      <c r="E52" s="28">
        <v>-10</v>
      </c>
      <c r="F52" s="28">
        <v>13</v>
      </c>
      <c r="G52" s="28">
        <v>24</v>
      </c>
      <c r="H52" s="28">
        <v>10</v>
      </c>
      <c r="I52" s="28">
        <v>-10</v>
      </c>
      <c r="J52" s="28"/>
      <c r="K52" s="28"/>
      <c r="L52" s="26"/>
    </row>
    <row r="53" spans="1:19" s="1" customFormat="1">
      <c r="A53" s="40" t="s">
        <v>753</v>
      </c>
      <c r="B53" s="39" t="s">
        <v>350</v>
      </c>
      <c r="C53" s="39">
        <v>210</v>
      </c>
      <c r="D53" s="39" t="s">
        <v>380</v>
      </c>
      <c r="E53" s="39">
        <v>-10</v>
      </c>
      <c r="F53" s="39">
        <v>13</v>
      </c>
      <c r="G53" s="39">
        <v>24</v>
      </c>
      <c r="H53" s="39">
        <v>10</v>
      </c>
      <c r="I53" s="39">
        <v>-10</v>
      </c>
      <c r="J53" s="39"/>
      <c r="K53" s="39"/>
      <c r="L53" s="40"/>
      <c r="M53" s="10"/>
      <c r="N53" s="10"/>
      <c r="O53" s="10"/>
      <c r="P53" s="10"/>
      <c r="Q53" s="10"/>
      <c r="R53" s="10"/>
    </row>
    <row r="54" spans="1:19" s="1" customFormat="1">
      <c r="A54" s="10" t="s">
        <v>351</v>
      </c>
      <c r="B54" s="6" t="s">
        <v>352</v>
      </c>
      <c r="C54" s="6">
        <v>150</v>
      </c>
      <c r="D54" s="6" t="s">
        <v>283</v>
      </c>
      <c r="E54" s="6">
        <v>-25</v>
      </c>
      <c r="F54" s="6">
        <v>13</v>
      </c>
      <c r="G54" s="6">
        <v>25</v>
      </c>
      <c r="H54" s="6">
        <v>5</v>
      </c>
      <c r="I54" s="6">
        <v>-5</v>
      </c>
      <c r="J54" s="6"/>
      <c r="K54" s="6"/>
      <c r="L54" s="10"/>
    </row>
    <row r="55" spans="1:19" s="1" customFormat="1">
      <c r="A55" s="26" t="s">
        <v>351</v>
      </c>
      <c r="B55" s="28" t="s">
        <v>353</v>
      </c>
      <c r="C55" s="28" t="s">
        <v>1672</v>
      </c>
      <c r="D55" s="28" t="s">
        <v>528</v>
      </c>
      <c r="E55" s="28">
        <v>-15</v>
      </c>
      <c r="F55" s="28">
        <v>14</v>
      </c>
      <c r="G55" s="28">
        <v>26</v>
      </c>
      <c r="H55" s="28">
        <v>10</v>
      </c>
      <c r="I55" s="28">
        <v>-10</v>
      </c>
      <c r="J55" s="28">
        <v>5</v>
      </c>
      <c r="K55" s="28"/>
      <c r="L55" s="26"/>
      <c r="M55" s="10"/>
      <c r="N55" s="10"/>
      <c r="O55" s="10"/>
    </row>
    <row r="56" spans="1:19" s="1" customFormat="1">
      <c r="A56" s="1" t="s">
        <v>263</v>
      </c>
      <c r="B56" s="4" t="s">
        <v>282</v>
      </c>
      <c r="C56" s="4">
        <v>200</v>
      </c>
      <c r="D56" s="4" t="s">
        <v>967</v>
      </c>
      <c r="E56" s="4">
        <v>-25</v>
      </c>
      <c r="F56" s="4">
        <v>13</v>
      </c>
      <c r="G56" s="4">
        <v>24</v>
      </c>
      <c r="H56" s="4">
        <v>5</v>
      </c>
      <c r="I56" s="4">
        <v>-20</v>
      </c>
      <c r="J56" s="4"/>
      <c r="K56" s="4"/>
      <c r="M56" s="10"/>
      <c r="N56" s="10"/>
      <c r="O56" s="10"/>
      <c r="P56" s="10"/>
      <c r="Q56" s="10"/>
      <c r="R56" s="10"/>
      <c r="S56" s="10"/>
    </row>
    <row r="57" spans="1:19" s="1" customFormat="1">
      <c r="A57" s="26" t="s">
        <v>263</v>
      </c>
      <c r="B57" s="28" t="s">
        <v>353</v>
      </c>
      <c r="C57" s="28">
        <v>200</v>
      </c>
      <c r="D57" s="28" t="s">
        <v>203</v>
      </c>
      <c r="E57" s="28">
        <v>-10</v>
      </c>
      <c r="F57" s="28" t="s">
        <v>458</v>
      </c>
      <c r="G57" s="28">
        <v>26</v>
      </c>
      <c r="H57" s="28">
        <v>5</v>
      </c>
      <c r="I57" s="28">
        <v>-10</v>
      </c>
      <c r="J57" s="28"/>
      <c r="K57" s="28"/>
      <c r="L57" s="26"/>
      <c r="M57" s="10"/>
      <c r="N57" s="10"/>
      <c r="O57" s="10"/>
      <c r="P57" s="10"/>
      <c r="Q57" s="10"/>
      <c r="R57" s="10"/>
      <c r="S57" s="10"/>
    </row>
    <row r="58" spans="1:19" s="1" customFormat="1">
      <c r="A58" s="1" t="s">
        <v>127</v>
      </c>
      <c r="B58" s="4" t="s">
        <v>354</v>
      </c>
      <c r="C58" s="4">
        <v>200</v>
      </c>
      <c r="D58" s="4" t="s">
        <v>846</v>
      </c>
      <c r="E58" s="4">
        <v>-25</v>
      </c>
      <c r="F58" s="4">
        <v>14</v>
      </c>
      <c r="G58" s="4">
        <v>27</v>
      </c>
      <c r="H58" s="4">
        <v>10</v>
      </c>
      <c r="I58" s="4">
        <v>-20</v>
      </c>
      <c r="J58" s="4"/>
      <c r="K58" s="4"/>
    </row>
    <row r="59" spans="1:19" s="1" customFormat="1">
      <c r="A59" s="26" t="s">
        <v>127</v>
      </c>
      <c r="B59" s="28" t="s">
        <v>287</v>
      </c>
      <c r="C59" s="28">
        <v>250</v>
      </c>
      <c r="D59" s="28" t="s">
        <v>204</v>
      </c>
      <c r="E59" s="28">
        <v>-20</v>
      </c>
      <c r="F59" s="28">
        <v>15</v>
      </c>
      <c r="G59" s="28">
        <v>28</v>
      </c>
      <c r="H59" s="28">
        <v>10</v>
      </c>
      <c r="I59" s="28">
        <v>-10</v>
      </c>
      <c r="J59" s="28">
        <v>5</v>
      </c>
      <c r="K59" s="28"/>
      <c r="L59" s="26"/>
    </row>
    <row r="60" spans="1:19" s="1" customFormat="1">
      <c r="A60" s="1" t="s">
        <v>830</v>
      </c>
      <c r="B60" s="4" t="s">
        <v>565</v>
      </c>
      <c r="C60" s="4" t="s">
        <v>248</v>
      </c>
      <c r="D60" s="4" t="s">
        <v>212</v>
      </c>
      <c r="E60" s="4">
        <v>-25</v>
      </c>
      <c r="F60" s="4" t="s">
        <v>242</v>
      </c>
      <c r="G60" s="4" t="s">
        <v>332</v>
      </c>
      <c r="H60" s="4"/>
      <c r="I60" s="4"/>
      <c r="J60" s="4"/>
      <c r="K60" s="4"/>
      <c r="L60" s="1" t="s">
        <v>847</v>
      </c>
    </row>
    <row r="61" spans="1:19" s="1" customFormat="1">
      <c r="A61" s="26" t="s">
        <v>830</v>
      </c>
      <c r="B61" s="28" t="s">
        <v>633</v>
      </c>
      <c r="C61" s="28" t="s">
        <v>565</v>
      </c>
      <c r="D61" s="28" t="s">
        <v>380</v>
      </c>
      <c r="E61" s="28">
        <v>-25</v>
      </c>
      <c r="F61" s="28" t="s">
        <v>184</v>
      </c>
      <c r="G61" s="28" t="s">
        <v>461</v>
      </c>
      <c r="H61" s="28" t="s">
        <v>153</v>
      </c>
      <c r="I61" s="28" t="s">
        <v>613</v>
      </c>
      <c r="J61" s="28"/>
      <c r="K61" s="28"/>
      <c r="L61" s="26" t="s">
        <v>847</v>
      </c>
    </row>
    <row r="62" spans="1:19" s="1" customFormat="1">
      <c r="A62" s="1" t="s">
        <v>831</v>
      </c>
      <c r="B62" s="4" t="s">
        <v>654</v>
      </c>
      <c r="C62" s="4" t="s">
        <v>248</v>
      </c>
      <c r="D62" s="4" t="s">
        <v>212</v>
      </c>
      <c r="E62" s="4">
        <v>-25</v>
      </c>
      <c r="F62" s="4" t="s">
        <v>242</v>
      </c>
      <c r="G62" s="4" t="s">
        <v>332</v>
      </c>
      <c r="H62" s="4"/>
      <c r="I62" s="4"/>
      <c r="J62" s="4"/>
      <c r="K62" s="4"/>
      <c r="L62" s="1" t="s">
        <v>847</v>
      </c>
    </row>
    <row r="63" spans="1:19" s="1" customFormat="1">
      <c r="A63" s="26" t="s">
        <v>831</v>
      </c>
      <c r="B63" s="28" t="s">
        <v>599</v>
      </c>
      <c r="C63" s="28" t="s">
        <v>571</v>
      </c>
      <c r="D63" s="28" t="s">
        <v>380</v>
      </c>
      <c r="E63" s="28" t="s">
        <v>362</v>
      </c>
      <c r="F63" s="28" t="s">
        <v>458</v>
      </c>
      <c r="G63" s="28" t="s">
        <v>835</v>
      </c>
      <c r="H63" s="28" t="s">
        <v>458</v>
      </c>
      <c r="I63" s="28" t="s">
        <v>365</v>
      </c>
      <c r="J63" s="28"/>
      <c r="K63" s="28"/>
      <c r="L63" s="26" t="s">
        <v>847</v>
      </c>
    </row>
    <row r="64" spans="1:19" s="1" customFormat="1">
      <c r="A64" s="1" t="s">
        <v>259</v>
      </c>
      <c r="B64" s="4" t="s">
        <v>373</v>
      </c>
      <c r="C64" s="4">
        <v>400</v>
      </c>
      <c r="D64" s="4" t="s">
        <v>337</v>
      </c>
      <c r="E64" s="4">
        <v>-80</v>
      </c>
      <c r="F64" s="4">
        <v>15</v>
      </c>
      <c r="G64" s="4">
        <v>36</v>
      </c>
      <c r="H64" s="4">
        <v>10</v>
      </c>
      <c r="I64" s="4">
        <v>-20</v>
      </c>
      <c r="J64" s="4"/>
      <c r="K64" s="4"/>
      <c r="M64" s="10"/>
      <c r="N64" s="10"/>
      <c r="O64" s="10"/>
      <c r="P64" s="10"/>
      <c r="Q64" s="10"/>
      <c r="R64" s="10"/>
      <c r="S64" s="10"/>
    </row>
    <row r="65" spans="1:20" s="1" customFormat="1">
      <c r="A65" s="26" t="s">
        <v>537</v>
      </c>
      <c r="B65" s="28" t="s">
        <v>337</v>
      </c>
      <c r="C65" s="28">
        <v>400</v>
      </c>
      <c r="D65" s="28" t="s">
        <v>337</v>
      </c>
      <c r="E65" s="28">
        <v>-80</v>
      </c>
      <c r="F65" s="28">
        <v>18</v>
      </c>
      <c r="G65" s="28">
        <v>36</v>
      </c>
      <c r="H65" s="28">
        <v>15</v>
      </c>
      <c r="I65" s="28">
        <v>-20</v>
      </c>
      <c r="J65" s="28">
        <v>10</v>
      </c>
      <c r="K65" s="28"/>
      <c r="L65" s="26"/>
      <c r="M65" s="10"/>
      <c r="N65" s="10"/>
      <c r="O65" s="10"/>
      <c r="P65" s="10"/>
      <c r="Q65" s="10"/>
      <c r="R65" s="10"/>
      <c r="S65" s="10"/>
    </row>
    <row r="66" spans="1:20" s="1" customFormat="1">
      <c r="A66" s="40" t="s">
        <v>121</v>
      </c>
      <c r="B66" s="39" t="s">
        <v>513</v>
      </c>
      <c r="C66" s="39" t="s">
        <v>283</v>
      </c>
      <c r="D66" s="39" t="s">
        <v>575</v>
      </c>
      <c r="E66" s="39" t="s">
        <v>531</v>
      </c>
      <c r="F66" s="39" t="s">
        <v>532</v>
      </c>
      <c r="G66" s="39" t="s">
        <v>533</v>
      </c>
      <c r="H66" s="39" t="s">
        <v>1966</v>
      </c>
      <c r="I66" s="39" t="s">
        <v>613</v>
      </c>
      <c r="J66" s="39" t="s">
        <v>153</v>
      </c>
      <c r="K66" s="39"/>
      <c r="L66" s="40"/>
      <c r="M66" s="10"/>
      <c r="N66" s="10"/>
      <c r="O66" s="10"/>
      <c r="P66" s="10"/>
      <c r="Q66" s="10"/>
    </row>
    <row r="67" spans="1:20" s="1" customFormat="1">
      <c r="A67" s="1" t="s">
        <v>961</v>
      </c>
      <c r="B67" s="4" t="s">
        <v>337</v>
      </c>
      <c r="C67" s="4">
        <v>400</v>
      </c>
      <c r="D67" s="4" t="s">
        <v>337</v>
      </c>
      <c r="E67" s="4">
        <v>-80</v>
      </c>
      <c r="F67" s="4">
        <v>15</v>
      </c>
      <c r="G67" s="4" t="s">
        <v>962</v>
      </c>
      <c r="H67" s="4">
        <v>10</v>
      </c>
      <c r="I67" s="4">
        <v>-20</v>
      </c>
      <c r="J67" s="4"/>
      <c r="K67" s="4"/>
      <c r="M67" s="10"/>
      <c r="N67" s="10"/>
      <c r="O67" s="10"/>
      <c r="P67" s="10"/>
      <c r="Q67" s="10"/>
      <c r="R67" s="10"/>
      <c r="S67" s="10"/>
    </row>
    <row r="68" spans="1:20" s="1" customFormat="1">
      <c r="A68" s="26" t="s">
        <v>961</v>
      </c>
      <c r="B68" s="28" t="s">
        <v>512</v>
      </c>
      <c r="C68" s="28" t="s">
        <v>570</v>
      </c>
      <c r="D68" s="28" t="s">
        <v>337</v>
      </c>
      <c r="E68" s="28" t="s">
        <v>531</v>
      </c>
      <c r="F68" s="28" t="s">
        <v>963</v>
      </c>
      <c r="G68" s="28" t="s">
        <v>964</v>
      </c>
      <c r="H68" s="28" t="s">
        <v>532</v>
      </c>
      <c r="I68" s="28" t="s">
        <v>613</v>
      </c>
      <c r="J68" s="28" t="s">
        <v>155</v>
      </c>
      <c r="K68" s="28"/>
      <c r="L68" s="26"/>
      <c r="M68" s="10"/>
      <c r="N68" s="10"/>
      <c r="O68" s="10"/>
      <c r="P68" s="10"/>
      <c r="Q68" s="10"/>
      <c r="R68" s="10"/>
      <c r="S68" s="10"/>
      <c r="T68" s="10"/>
    </row>
    <row r="69" spans="1:20" s="1" customFormat="1">
      <c r="A69" s="1" t="s">
        <v>260</v>
      </c>
      <c r="B69" s="4" t="s">
        <v>374</v>
      </c>
      <c r="C69" s="4">
        <v>400</v>
      </c>
      <c r="D69" s="4" t="s">
        <v>337</v>
      </c>
      <c r="E69" s="4">
        <v>-80</v>
      </c>
      <c r="F69" s="4">
        <v>15</v>
      </c>
      <c r="G69" s="4">
        <v>36</v>
      </c>
      <c r="H69" s="4">
        <v>30</v>
      </c>
      <c r="I69" s="4">
        <v>-10</v>
      </c>
      <c r="J69" s="4"/>
      <c r="K69" s="4"/>
    </row>
    <row r="70" spans="1:20" s="1" customFormat="1">
      <c r="A70" s="26" t="s">
        <v>260</v>
      </c>
      <c r="B70" s="28" t="s">
        <v>575</v>
      </c>
      <c r="C70" s="28">
        <v>350</v>
      </c>
      <c r="D70" s="28" t="s">
        <v>337</v>
      </c>
      <c r="E70" s="28">
        <v>-70</v>
      </c>
      <c r="F70" s="28">
        <v>17</v>
      </c>
      <c r="G70" s="28" t="s">
        <v>465</v>
      </c>
      <c r="H70" s="28">
        <v>25</v>
      </c>
      <c r="I70" s="28" t="s">
        <v>365</v>
      </c>
      <c r="J70" s="28" t="s">
        <v>458</v>
      </c>
      <c r="K70" s="28"/>
      <c r="L70" s="26"/>
    </row>
    <row r="71" spans="1:20" s="1" customFormat="1">
      <c r="A71" s="1" t="s">
        <v>262</v>
      </c>
      <c r="B71" s="4" t="s">
        <v>375</v>
      </c>
      <c r="C71" s="4">
        <v>400</v>
      </c>
      <c r="D71" s="4" t="s">
        <v>337</v>
      </c>
      <c r="E71" s="4">
        <v>-80</v>
      </c>
      <c r="F71" s="4" t="s">
        <v>514</v>
      </c>
      <c r="G71" s="4" t="s">
        <v>515</v>
      </c>
      <c r="H71" s="4" t="s">
        <v>516</v>
      </c>
      <c r="I71" s="4" t="s">
        <v>517</v>
      </c>
      <c r="J71" s="4"/>
      <c r="K71" s="4"/>
    </row>
    <row r="72" spans="1:20" s="1" customFormat="1">
      <c r="A72" s="26" t="s">
        <v>262</v>
      </c>
      <c r="B72" s="28" t="s">
        <v>2030</v>
      </c>
      <c r="C72" s="28">
        <v>400</v>
      </c>
      <c r="D72" s="28" t="s">
        <v>337</v>
      </c>
      <c r="E72" s="28">
        <v>-60</v>
      </c>
      <c r="F72" s="28">
        <v>19</v>
      </c>
      <c r="G72" s="28">
        <v>38</v>
      </c>
      <c r="H72" s="28">
        <v>15</v>
      </c>
      <c r="I72" s="28" t="s">
        <v>518</v>
      </c>
      <c r="J72" s="28">
        <v>12</v>
      </c>
      <c r="K72" s="28"/>
      <c r="L72" s="26"/>
    </row>
    <row r="73" spans="1:20" s="1" customFormat="1">
      <c r="A73" s="40" t="s">
        <v>261</v>
      </c>
      <c r="B73" s="39" t="s">
        <v>692</v>
      </c>
      <c r="C73" s="39">
        <v>400</v>
      </c>
      <c r="D73" s="39" t="s">
        <v>223</v>
      </c>
      <c r="E73" s="39">
        <v>-60</v>
      </c>
      <c r="F73" s="39">
        <v>20</v>
      </c>
      <c r="G73" s="39">
        <v>40</v>
      </c>
      <c r="H73" s="39">
        <v>20</v>
      </c>
      <c r="I73" s="39" t="s">
        <v>535</v>
      </c>
      <c r="J73" s="39">
        <v>12</v>
      </c>
      <c r="K73" s="39"/>
      <c r="L73" s="40" t="s">
        <v>2174</v>
      </c>
      <c r="M73" s="10"/>
      <c r="N73" s="10"/>
      <c r="O73" s="10"/>
      <c r="P73" s="10"/>
      <c r="Q73" s="10"/>
    </row>
    <row r="74" spans="1:20" s="1" customFormat="1">
      <c r="A74" s="1" t="s">
        <v>167</v>
      </c>
      <c r="B74" s="4" t="s">
        <v>265</v>
      </c>
      <c r="C74" s="4">
        <v>500</v>
      </c>
      <c r="D74" s="4" t="s">
        <v>606</v>
      </c>
      <c r="E74" s="4">
        <v>-80</v>
      </c>
      <c r="F74" s="4">
        <v>17</v>
      </c>
      <c r="G74" s="4">
        <v>40</v>
      </c>
      <c r="H74" s="4">
        <v>15</v>
      </c>
      <c r="I74" s="4">
        <v>-20</v>
      </c>
      <c r="J74" s="4"/>
      <c r="K74" s="4"/>
    </row>
    <row r="75" spans="1:20" s="1" customFormat="1">
      <c r="A75" s="26" t="s">
        <v>2444</v>
      </c>
      <c r="B75" s="28" t="s">
        <v>534</v>
      </c>
      <c r="C75" s="28">
        <v>500</v>
      </c>
      <c r="D75" s="28" t="s">
        <v>373</v>
      </c>
      <c r="E75" s="28" t="s">
        <v>966</v>
      </c>
      <c r="F75" s="28" t="s">
        <v>332</v>
      </c>
      <c r="G75" s="28">
        <v>40</v>
      </c>
      <c r="H75" s="28" t="s">
        <v>359</v>
      </c>
      <c r="I75" s="28" t="s">
        <v>615</v>
      </c>
      <c r="J75" s="28" t="s">
        <v>332</v>
      </c>
      <c r="K75" s="28"/>
      <c r="L75" s="26"/>
    </row>
    <row r="76" spans="1:20" s="1" customFormat="1">
      <c r="A76" s="1" t="s">
        <v>94</v>
      </c>
      <c r="B76" s="4" t="s">
        <v>525</v>
      </c>
      <c r="C76" s="4">
        <v>400</v>
      </c>
      <c r="D76" s="4" t="s">
        <v>353</v>
      </c>
      <c r="E76" s="4">
        <v>-35</v>
      </c>
      <c r="F76" s="4">
        <v>20</v>
      </c>
      <c r="G76" s="4">
        <v>40</v>
      </c>
      <c r="H76" s="4">
        <v>30</v>
      </c>
      <c r="I76" s="4"/>
      <c r="J76" s="4"/>
      <c r="K76" s="4"/>
    </row>
    <row r="77" spans="1:20" s="1" customFormat="1">
      <c r="A77" s="26" t="s">
        <v>94</v>
      </c>
      <c r="B77" s="28" t="s">
        <v>1635</v>
      </c>
      <c r="C77" s="28">
        <v>500</v>
      </c>
      <c r="D77" s="28" t="s">
        <v>353</v>
      </c>
      <c r="E77" s="28">
        <v>-35</v>
      </c>
      <c r="F77" s="28" t="s">
        <v>359</v>
      </c>
      <c r="G77" s="28">
        <v>45</v>
      </c>
      <c r="H77" s="28">
        <v>30</v>
      </c>
      <c r="I77" s="28"/>
      <c r="J77" s="28" t="s">
        <v>359</v>
      </c>
      <c r="K77" s="28"/>
      <c r="L77" s="26"/>
      <c r="O77" s="10"/>
      <c r="P77" s="10"/>
    </row>
    <row r="78" spans="1:20" s="1" customFormat="1">
      <c r="A78" s="1" t="s">
        <v>194</v>
      </c>
      <c r="B78" s="4" t="s">
        <v>976</v>
      </c>
      <c r="C78" s="4" t="s">
        <v>380</v>
      </c>
      <c r="D78" s="4" t="s">
        <v>575</v>
      </c>
      <c r="E78" s="4" t="s">
        <v>975</v>
      </c>
      <c r="F78" s="4" t="s">
        <v>501</v>
      </c>
      <c r="G78" s="4" t="s">
        <v>332</v>
      </c>
      <c r="H78" s="4" t="s">
        <v>332</v>
      </c>
      <c r="I78" s="4"/>
      <c r="J78" s="4"/>
      <c r="K78" s="4"/>
      <c r="O78" s="10"/>
      <c r="P78" s="10"/>
    </row>
    <row r="79" spans="1:20" s="1" customFormat="1">
      <c r="A79" s="26" t="s">
        <v>974</v>
      </c>
      <c r="B79" s="28" t="s">
        <v>976</v>
      </c>
      <c r="C79" s="28" t="s">
        <v>570</v>
      </c>
      <c r="D79" s="28" t="s">
        <v>295</v>
      </c>
      <c r="E79" s="28" t="s">
        <v>1358</v>
      </c>
      <c r="F79" s="28" t="s">
        <v>2437</v>
      </c>
      <c r="G79" s="28" t="s">
        <v>533</v>
      </c>
      <c r="H79" s="28" t="s">
        <v>458</v>
      </c>
      <c r="I79" s="28" t="s">
        <v>362</v>
      </c>
      <c r="J79" s="28" t="s">
        <v>458</v>
      </c>
      <c r="K79" s="28"/>
      <c r="L79" s="26" t="s">
        <v>2438</v>
      </c>
      <c r="M79" s="10"/>
      <c r="N79" s="10"/>
      <c r="O79" s="10"/>
      <c r="P79" s="10"/>
      <c r="Q79" s="10"/>
    </row>
    <row r="80" spans="1:20" s="1" customFormat="1">
      <c r="A80" s="1" t="s">
        <v>965</v>
      </c>
      <c r="B80" s="4" t="s">
        <v>969</v>
      </c>
      <c r="C80" s="4" t="s">
        <v>283</v>
      </c>
      <c r="D80" s="4" t="s">
        <v>337</v>
      </c>
      <c r="E80" s="4" t="s">
        <v>450</v>
      </c>
      <c r="F80" s="4" t="s">
        <v>332</v>
      </c>
      <c r="G80" s="4" t="s">
        <v>501</v>
      </c>
      <c r="H80" s="4" t="s">
        <v>153</v>
      </c>
      <c r="I80" s="4" t="s">
        <v>362</v>
      </c>
      <c r="J80" s="4"/>
      <c r="K80" s="4"/>
      <c r="O80" s="10"/>
      <c r="P80" s="10"/>
    </row>
    <row r="81" spans="1:17" s="1" customFormat="1">
      <c r="A81" s="26" t="s">
        <v>965</v>
      </c>
      <c r="B81" s="28" t="s">
        <v>969</v>
      </c>
      <c r="C81" s="28" t="s">
        <v>204</v>
      </c>
      <c r="D81" s="28" t="s">
        <v>295</v>
      </c>
      <c r="E81" s="28" t="s">
        <v>975</v>
      </c>
      <c r="F81" s="28" t="s">
        <v>2442</v>
      </c>
      <c r="G81" s="28" t="s">
        <v>247</v>
      </c>
      <c r="H81" s="28" t="s">
        <v>332</v>
      </c>
      <c r="I81" s="28" t="s">
        <v>613</v>
      </c>
      <c r="J81" s="28" t="s">
        <v>332</v>
      </c>
      <c r="K81" s="28"/>
      <c r="L81" s="26" t="s">
        <v>2439</v>
      </c>
      <c r="M81" s="10"/>
      <c r="N81" s="10"/>
      <c r="O81" s="10"/>
      <c r="P81" s="10"/>
      <c r="Q81" s="10"/>
    </row>
    <row r="82" spans="1:17" s="1" customFormat="1">
      <c r="A82" s="1" t="s">
        <v>194</v>
      </c>
      <c r="B82" s="4" t="s">
        <v>524</v>
      </c>
      <c r="C82" s="4">
        <v>600</v>
      </c>
      <c r="D82" s="4" t="s">
        <v>575</v>
      </c>
      <c r="E82" s="4">
        <v>-90</v>
      </c>
      <c r="F82" s="4" t="s">
        <v>519</v>
      </c>
      <c r="G82" s="4" t="s">
        <v>520</v>
      </c>
      <c r="H82" s="4" t="s">
        <v>521</v>
      </c>
      <c r="I82" s="4" t="s">
        <v>523</v>
      </c>
      <c r="J82" s="4" t="s">
        <v>522</v>
      </c>
      <c r="K82" s="4"/>
      <c r="L82" s="1" t="s">
        <v>2441</v>
      </c>
      <c r="O82" s="10"/>
      <c r="P82" s="10"/>
    </row>
    <row r="83" spans="1:17" s="1" customFormat="1">
      <c r="A83" s="26" t="s">
        <v>266</v>
      </c>
      <c r="B83" s="28" t="s">
        <v>378</v>
      </c>
      <c r="C83" s="28">
        <v>600</v>
      </c>
      <c r="D83" s="28" t="s">
        <v>575</v>
      </c>
      <c r="E83" s="28" t="s">
        <v>2436</v>
      </c>
      <c r="F83" s="28" t="s">
        <v>2435</v>
      </c>
      <c r="G83" s="28">
        <v>45</v>
      </c>
      <c r="H83" s="28" t="s">
        <v>501</v>
      </c>
      <c r="I83" s="28"/>
      <c r="J83" s="28" t="s">
        <v>501</v>
      </c>
      <c r="K83" s="28"/>
      <c r="L83" s="26" t="s">
        <v>2440</v>
      </c>
      <c r="M83" s="10"/>
      <c r="N83" s="10"/>
      <c r="O83" s="10"/>
      <c r="P83" s="10"/>
      <c r="Q83" s="10"/>
    </row>
    <row r="84" spans="1:17" s="1" customFormat="1">
      <c r="A84" s="1" t="s">
        <v>75</v>
      </c>
      <c r="B84" s="4" t="s">
        <v>378</v>
      </c>
      <c r="C84" s="4" t="s">
        <v>380</v>
      </c>
      <c r="D84" s="4" t="s">
        <v>223</v>
      </c>
      <c r="E84" s="4">
        <v>-20</v>
      </c>
      <c r="F84" s="4" t="s">
        <v>1645</v>
      </c>
      <c r="G84" s="4" t="s">
        <v>981</v>
      </c>
      <c r="H84" s="4" t="s">
        <v>1647</v>
      </c>
      <c r="I84" s="4" t="s">
        <v>1646</v>
      </c>
      <c r="J84" s="4" t="s">
        <v>1507</v>
      </c>
      <c r="K84" s="4"/>
    </row>
    <row r="85" spans="1:17" s="1" customFormat="1">
      <c r="A85" s="26" t="s">
        <v>75</v>
      </c>
      <c r="B85" s="28" t="s">
        <v>733</v>
      </c>
      <c r="C85" s="28" t="s">
        <v>599</v>
      </c>
      <c r="D85" s="28" t="s">
        <v>337</v>
      </c>
      <c r="E85" s="28">
        <v>-20</v>
      </c>
      <c r="F85" s="28" t="s">
        <v>1648</v>
      </c>
      <c r="G85" s="28" t="s">
        <v>248</v>
      </c>
      <c r="H85" s="28" t="s">
        <v>247</v>
      </c>
      <c r="I85" s="28" t="s">
        <v>1649</v>
      </c>
      <c r="J85" s="28" t="s">
        <v>379</v>
      </c>
      <c r="K85" s="28"/>
      <c r="L85" s="26"/>
    </row>
  </sheetData>
  <pageMargins left="0.7" right="0.7" top="0.75" bottom="0.75" header="0.3" footer="0.3"/>
  <pageSetup paperSize="9" orientation="portrait" r:id="rId1"/>
  <ignoredErrors>
    <ignoredError sqref="I63 I61 E63" numberStoredAsText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X72"/>
  <sheetViews>
    <sheetView workbookViewId="0">
      <pane ySplit="1" topLeftCell="A2" activePane="bottomLeft" state="frozen"/>
      <selection pane="bottomLeft" activeCell="N3" sqref="N3:O5"/>
    </sheetView>
  </sheetViews>
  <sheetFormatPr defaultRowHeight="15"/>
  <cols>
    <col min="1" max="1" width="34.28515625" customWidth="1"/>
    <col min="2" max="2" width="11.42578125" style="34" customWidth="1"/>
    <col min="3" max="3" width="11.42578125" style="4" customWidth="1"/>
    <col min="4" max="4" width="10" style="4" customWidth="1"/>
    <col min="5" max="11" width="7.85546875" style="4" customWidth="1"/>
    <col min="12" max="12" width="45" customWidth="1"/>
    <col min="13" max="13" width="9.140625" customWidth="1"/>
    <col min="15" max="15" width="15.7109375" customWidth="1"/>
    <col min="16" max="16" width="9.140625" customWidth="1"/>
  </cols>
  <sheetData>
    <row r="1" spans="1:24" s="18" customFormat="1" ht="15.75" thickBot="1">
      <c r="A1" s="7" t="s">
        <v>34</v>
      </c>
      <c r="B1" s="21" t="s">
        <v>200</v>
      </c>
      <c r="C1" s="14" t="s">
        <v>85</v>
      </c>
      <c r="D1" s="21" t="s">
        <v>207</v>
      </c>
      <c r="E1" s="14" t="s">
        <v>1634</v>
      </c>
      <c r="F1" s="14" t="s">
        <v>1953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42</v>
      </c>
      <c r="L1" s="9" t="s">
        <v>41</v>
      </c>
    </row>
    <row r="2" spans="1:24" s="1" customFormat="1" ht="15.75" thickBot="1">
      <c r="A2" s="1" t="s">
        <v>1558</v>
      </c>
      <c r="B2" s="4" t="s">
        <v>211</v>
      </c>
      <c r="C2" s="4" t="s">
        <v>501</v>
      </c>
      <c r="D2" s="4" t="s">
        <v>247</v>
      </c>
      <c r="E2" s="4" t="s">
        <v>1556</v>
      </c>
      <c r="F2" s="4" t="s">
        <v>495</v>
      </c>
      <c r="G2" s="4" t="s">
        <v>665</v>
      </c>
      <c r="H2" s="4" t="s">
        <v>477</v>
      </c>
      <c r="I2" s="4"/>
      <c r="J2" s="4"/>
      <c r="K2" s="6"/>
    </row>
    <row r="3" spans="1:24" s="1" customFormat="1">
      <c r="A3" s="26" t="s">
        <v>1559</v>
      </c>
      <c r="B3" s="28" t="s">
        <v>380</v>
      </c>
      <c r="C3" s="28" t="s">
        <v>247</v>
      </c>
      <c r="D3" s="28" t="s">
        <v>1691</v>
      </c>
      <c r="E3" s="28" t="s">
        <v>394</v>
      </c>
      <c r="F3" s="28" t="s">
        <v>665</v>
      </c>
      <c r="G3" s="28" t="s">
        <v>495</v>
      </c>
      <c r="H3" s="28" t="s">
        <v>477</v>
      </c>
      <c r="I3" s="28"/>
      <c r="J3" s="28"/>
      <c r="K3" s="28"/>
      <c r="L3" s="26" t="s">
        <v>1494</v>
      </c>
      <c r="N3" s="35"/>
      <c r="O3" s="22" t="s">
        <v>72</v>
      </c>
    </row>
    <row r="4" spans="1:24" s="1" customFormat="1">
      <c r="A4" s="1" t="s">
        <v>466</v>
      </c>
      <c r="B4" s="4" t="s">
        <v>644</v>
      </c>
      <c r="C4" s="4">
        <v>80</v>
      </c>
      <c r="D4" s="4" t="s">
        <v>661</v>
      </c>
      <c r="E4" s="4"/>
      <c r="F4" s="4" t="s">
        <v>405</v>
      </c>
      <c r="G4" s="4" t="s">
        <v>546</v>
      </c>
      <c r="H4" s="4" t="s">
        <v>619</v>
      </c>
      <c r="I4" s="4"/>
      <c r="J4" s="4"/>
      <c r="K4" s="6" t="s">
        <v>357</v>
      </c>
      <c r="N4" s="43"/>
      <c r="O4" s="44" t="s">
        <v>73</v>
      </c>
    </row>
    <row r="5" spans="1:24" s="1" customFormat="1" ht="15.75" thickBot="1">
      <c r="A5" s="26" t="s">
        <v>620</v>
      </c>
      <c r="B5" s="28" t="s">
        <v>1495</v>
      </c>
      <c r="C5" s="28" t="s">
        <v>2236</v>
      </c>
      <c r="D5" s="28" t="s">
        <v>903</v>
      </c>
      <c r="E5" s="28"/>
      <c r="F5" s="28" t="s">
        <v>495</v>
      </c>
      <c r="G5" s="28" t="s">
        <v>157</v>
      </c>
      <c r="H5" s="28"/>
      <c r="I5" s="28"/>
      <c r="J5" s="28"/>
      <c r="K5" s="28" t="s">
        <v>478</v>
      </c>
      <c r="L5" s="26" t="s">
        <v>1576</v>
      </c>
      <c r="M5" s="10"/>
      <c r="N5" s="51"/>
      <c r="O5" s="45" t="s">
        <v>929</v>
      </c>
    </row>
    <row r="6" spans="1:24" s="1" customFormat="1">
      <c r="A6" s="1" t="s">
        <v>467</v>
      </c>
      <c r="B6" s="4" t="s">
        <v>538</v>
      </c>
      <c r="C6" s="4">
        <v>80</v>
      </c>
      <c r="D6" s="4" t="s">
        <v>248</v>
      </c>
      <c r="E6" s="4"/>
      <c r="F6" s="4" t="s">
        <v>484</v>
      </c>
      <c r="G6" s="4" t="s">
        <v>161</v>
      </c>
      <c r="H6" s="4" t="s">
        <v>469</v>
      </c>
      <c r="I6" s="4" t="s">
        <v>357</v>
      </c>
      <c r="J6" s="4" t="s">
        <v>357</v>
      </c>
      <c r="K6" s="4" t="s">
        <v>357</v>
      </c>
    </row>
    <row r="7" spans="1:24" s="1" customFormat="1">
      <c r="A7" s="26" t="s">
        <v>2278</v>
      </c>
      <c r="B7" s="28" t="s">
        <v>655</v>
      </c>
      <c r="C7" s="28" t="s">
        <v>2237</v>
      </c>
      <c r="D7" s="28" t="s">
        <v>983</v>
      </c>
      <c r="E7" s="28"/>
      <c r="F7" s="28" t="s">
        <v>505</v>
      </c>
      <c r="G7" s="28" t="s">
        <v>624</v>
      </c>
      <c r="H7" s="28" t="s">
        <v>357</v>
      </c>
      <c r="I7" s="28" t="s">
        <v>357</v>
      </c>
      <c r="J7" s="28" t="s">
        <v>357</v>
      </c>
      <c r="K7" s="28" t="s">
        <v>357</v>
      </c>
      <c r="L7" s="26"/>
      <c r="M7" s="10"/>
      <c r="N7" s="10"/>
      <c r="O7" s="10"/>
    </row>
    <row r="8" spans="1:24" s="1" customFormat="1">
      <c r="A8" s="1" t="s">
        <v>466</v>
      </c>
      <c r="B8" s="4" t="s">
        <v>539</v>
      </c>
      <c r="C8" s="4">
        <v>80</v>
      </c>
      <c r="D8" s="4" t="s">
        <v>248</v>
      </c>
      <c r="E8" s="4"/>
      <c r="F8" s="4" t="s">
        <v>484</v>
      </c>
      <c r="G8" s="4" t="s">
        <v>161</v>
      </c>
      <c r="H8" s="4" t="s">
        <v>472</v>
      </c>
      <c r="I8" s="4" t="s">
        <v>398</v>
      </c>
      <c r="J8" s="4" t="s">
        <v>398</v>
      </c>
      <c r="K8" s="4" t="s">
        <v>398</v>
      </c>
    </row>
    <row r="9" spans="1:24" s="1" customFormat="1">
      <c r="A9" s="26" t="s">
        <v>466</v>
      </c>
      <c r="B9" s="28" t="s">
        <v>984</v>
      </c>
      <c r="C9" s="28" t="s">
        <v>2238</v>
      </c>
      <c r="D9" s="28" t="s">
        <v>981</v>
      </c>
      <c r="E9" s="28"/>
      <c r="F9" s="28" t="s">
        <v>508</v>
      </c>
      <c r="G9" s="28" t="s">
        <v>623</v>
      </c>
      <c r="H9" s="28" t="s">
        <v>398</v>
      </c>
      <c r="I9" s="28" t="s">
        <v>398</v>
      </c>
      <c r="J9" s="28" t="s">
        <v>398</v>
      </c>
      <c r="K9" s="28" t="s">
        <v>398</v>
      </c>
      <c r="L9" s="26"/>
    </row>
    <row r="10" spans="1:24" s="1" customFormat="1">
      <c r="A10" s="1" t="s">
        <v>470</v>
      </c>
      <c r="B10" s="4" t="s">
        <v>540</v>
      </c>
      <c r="C10" s="4">
        <v>80</v>
      </c>
      <c r="D10" s="4" t="s">
        <v>248</v>
      </c>
      <c r="E10" s="4"/>
      <c r="F10" s="4" t="s">
        <v>484</v>
      </c>
      <c r="G10" s="4" t="s">
        <v>161</v>
      </c>
      <c r="H10" s="4" t="s">
        <v>473</v>
      </c>
      <c r="I10" s="4" t="s">
        <v>474</v>
      </c>
      <c r="J10" s="4" t="s">
        <v>474</v>
      </c>
      <c r="K10" s="4" t="s">
        <v>474</v>
      </c>
    </row>
    <row r="11" spans="1:24" s="1" customFormat="1">
      <c r="A11" s="26" t="s">
        <v>470</v>
      </c>
      <c r="B11" s="28" t="s">
        <v>1496</v>
      </c>
      <c r="C11" s="28" t="s">
        <v>2239</v>
      </c>
      <c r="D11" s="28" t="s">
        <v>661</v>
      </c>
      <c r="E11" s="28"/>
      <c r="F11" s="28" t="s">
        <v>507</v>
      </c>
      <c r="G11" s="28" t="s">
        <v>622</v>
      </c>
      <c r="H11" s="28" t="s">
        <v>477</v>
      </c>
      <c r="I11" s="28" t="s">
        <v>477</v>
      </c>
      <c r="J11" s="28" t="s">
        <v>477</v>
      </c>
      <c r="K11" s="28" t="s">
        <v>477</v>
      </c>
      <c r="L11" s="26"/>
    </row>
    <row r="12" spans="1:24" s="1" customFormat="1">
      <c r="A12" s="1" t="s">
        <v>471</v>
      </c>
      <c r="B12" s="4" t="s">
        <v>541</v>
      </c>
      <c r="C12" s="4">
        <v>80</v>
      </c>
      <c r="D12" s="4" t="s">
        <v>248</v>
      </c>
      <c r="E12" s="4"/>
      <c r="F12" s="4" t="s">
        <v>484</v>
      </c>
      <c r="G12" s="4" t="s">
        <v>161</v>
      </c>
      <c r="H12" s="4" t="s">
        <v>475</v>
      </c>
      <c r="I12" s="4" t="s">
        <v>476</v>
      </c>
      <c r="J12" s="4" t="s">
        <v>476</v>
      </c>
      <c r="K12" s="4" t="s">
        <v>476</v>
      </c>
    </row>
    <row r="13" spans="1:24" s="1" customFormat="1">
      <c r="A13" s="26" t="s">
        <v>2290</v>
      </c>
      <c r="B13" s="28" t="s">
        <v>1497</v>
      </c>
      <c r="C13" s="28" t="s">
        <v>2235</v>
      </c>
      <c r="D13" s="28" t="s">
        <v>903</v>
      </c>
      <c r="E13" s="28"/>
      <c r="F13" s="28" t="s">
        <v>506</v>
      </c>
      <c r="G13" s="28" t="s">
        <v>621</v>
      </c>
      <c r="H13" s="28" t="s">
        <v>478</v>
      </c>
      <c r="I13" s="28" t="s">
        <v>478</v>
      </c>
      <c r="J13" s="28" t="s">
        <v>478</v>
      </c>
      <c r="K13" s="28" t="s">
        <v>478</v>
      </c>
      <c r="L13" s="26"/>
      <c r="M13" s="10"/>
      <c r="N13" s="10"/>
      <c r="O13" s="10"/>
    </row>
    <row r="14" spans="1:24" s="1" customFormat="1">
      <c r="A14" s="10" t="s">
        <v>989</v>
      </c>
      <c r="B14" s="6" t="s">
        <v>240</v>
      </c>
      <c r="C14" s="6" t="s">
        <v>501</v>
      </c>
      <c r="D14" s="6" t="s">
        <v>332</v>
      </c>
      <c r="E14" s="6"/>
      <c r="F14" s="6" t="s">
        <v>157</v>
      </c>
      <c r="G14" s="6" t="s">
        <v>158</v>
      </c>
      <c r="H14" s="6" t="s">
        <v>161</v>
      </c>
      <c r="I14" s="6"/>
      <c r="J14" s="6" t="s">
        <v>990</v>
      </c>
      <c r="K14" s="6"/>
      <c r="L14" s="10"/>
      <c r="M14" s="10"/>
    </row>
    <row r="15" spans="1:24" s="1" customFormat="1">
      <c r="A15" s="26" t="s">
        <v>989</v>
      </c>
      <c r="B15" s="28" t="s">
        <v>382</v>
      </c>
      <c r="C15" s="28" t="s">
        <v>250</v>
      </c>
      <c r="D15" s="28" t="s">
        <v>249</v>
      </c>
      <c r="E15" s="28"/>
      <c r="F15" s="28" t="s">
        <v>161</v>
      </c>
      <c r="G15" s="28" t="s">
        <v>154</v>
      </c>
      <c r="H15" s="28" t="s">
        <v>495</v>
      </c>
      <c r="I15" s="28"/>
      <c r="J15" s="28" t="s">
        <v>990</v>
      </c>
      <c r="K15" s="28"/>
      <c r="L15" s="26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s="1" customFormat="1">
      <c r="A16" s="1" t="s">
        <v>616</v>
      </c>
      <c r="B16" s="4" t="s">
        <v>632</v>
      </c>
      <c r="C16" s="4">
        <v>80</v>
      </c>
      <c r="D16" s="4" t="s">
        <v>248</v>
      </c>
      <c r="E16" s="4"/>
      <c r="F16" s="4" t="s">
        <v>158</v>
      </c>
      <c r="G16" s="4" t="s">
        <v>617</v>
      </c>
      <c r="H16" s="4" t="s">
        <v>161</v>
      </c>
      <c r="I16" s="4"/>
      <c r="J16" s="4"/>
      <c r="K16" s="4"/>
      <c r="L16" s="1" t="s">
        <v>1460</v>
      </c>
    </row>
    <row r="17" spans="1:13" s="1" customFormat="1">
      <c r="A17" s="26" t="s">
        <v>1958</v>
      </c>
      <c r="B17" s="28" t="s">
        <v>632</v>
      </c>
      <c r="C17" s="28" t="s">
        <v>812</v>
      </c>
      <c r="D17" s="28" t="s">
        <v>1957</v>
      </c>
      <c r="E17" s="28" t="s">
        <v>1959</v>
      </c>
      <c r="F17" s="28" t="s">
        <v>157</v>
      </c>
      <c r="G17" s="28" t="s">
        <v>617</v>
      </c>
      <c r="H17" s="28" t="s">
        <v>161</v>
      </c>
      <c r="I17" s="28"/>
      <c r="J17" s="28"/>
      <c r="K17" s="28"/>
      <c r="L17" s="26" t="s">
        <v>1460</v>
      </c>
    </row>
    <row r="18" spans="1:13" s="1" customFormat="1">
      <c r="A18" s="1" t="s">
        <v>479</v>
      </c>
      <c r="B18" s="4" t="s">
        <v>538</v>
      </c>
      <c r="C18" s="4">
        <v>80</v>
      </c>
      <c r="D18" s="4" t="s">
        <v>248</v>
      </c>
      <c r="E18" s="4"/>
      <c r="F18" s="4" t="s">
        <v>483</v>
      </c>
      <c r="G18" s="4" t="s">
        <v>483</v>
      </c>
      <c r="H18" s="4" t="s">
        <v>468</v>
      </c>
      <c r="I18" s="4" t="s">
        <v>360</v>
      </c>
      <c r="J18" s="4" t="s">
        <v>360</v>
      </c>
      <c r="K18" s="4" t="s">
        <v>360</v>
      </c>
      <c r="M18" s="10"/>
    </row>
    <row r="19" spans="1:13" s="1" customFormat="1">
      <c r="A19" s="26" t="s">
        <v>2279</v>
      </c>
      <c r="B19" s="28" t="s">
        <v>574</v>
      </c>
      <c r="C19" s="28" t="s">
        <v>2231</v>
      </c>
      <c r="D19" s="28" t="s">
        <v>249</v>
      </c>
      <c r="E19" s="28" t="s">
        <v>601</v>
      </c>
      <c r="F19" s="28" t="s">
        <v>622</v>
      </c>
      <c r="G19" s="28" t="s">
        <v>635</v>
      </c>
      <c r="H19" s="28" t="s">
        <v>1503</v>
      </c>
      <c r="I19" s="28" t="s">
        <v>406</v>
      </c>
      <c r="J19" s="28" t="s">
        <v>406</v>
      </c>
      <c r="K19" s="28" t="s">
        <v>406</v>
      </c>
      <c r="L19" s="26"/>
      <c r="M19" s="13"/>
    </row>
    <row r="20" spans="1:13" s="1" customFormat="1">
      <c r="A20" s="1" t="s">
        <v>480</v>
      </c>
      <c r="B20" s="4" t="s">
        <v>539</v>
      </c>
      <c r="C20" s="4">
        <v>80</v>
      </c>
      <c r="D20" s="4" t="s">
        <v>248</v>
      </c>
      <c r="E20" s="4"/>
      <c r="F20" s="4" t="s">
        <v>484</v>
      </c>
      <c r="G20" s="4" t="s">
        <v>484</v>
      </c>
      <c r="H20" s="4" t="s">
        <v>469</v>
      </c>
      <c r="I20" s="4" t="s">
        <v>357</v>
      </c>
      <c r="J20" s="4" t="s">
        <v>357</v>
      </c>
      <c r="K20" s="4" t="s">
        <v>357</v>
      </c>
      <c r="M20" s="10"/>
    </row>
    <row r="21" spans="1:13" s="1" customFormat="1">
      <c r="A21" s="26" t="s">
        <v>480</v>
      </c>
      <c r="B21" s="28" t="s">
        <v>928</v>
      </c>
      <c r="C21" s="28" t="s">
        <v>2232</v>
      </c>
      <c r="D21" s="28" t="s">
        <v>249</v>
      </c>
      <c r="E21" s="28" t="s">
        <v>602</v>
      </c>
      <c r="F21" s="28" t="s">
        <v>629</v>
      </c>
      <c r="G21" s="28" t="s">
        <v>546</v>
      </c>
      <c r="H21" s="28" t="s">
        <v>1502</v>
      </c>
      <c r="I21" s="28" t="s">
        <v>408</v>
      </c>
      <c r="J21" s="28" t="s">
        <v>408</v>
      </c>
      <c r="K21" s="28" t="s">
        <v>408</v>
      </c>
      <c r="L21" s="26"/>
      <c r="M21" s="10"/>
    </row>
    <row r="22" spans="1:13" s="1" customFormat="1">
      <c r="A22" s="1" t="s">
        <v>481</v>
      </c>
      <c r="B22" s="4" t="s">
        <v>540</v>
      </c>
      <c r="C22" s="4">
        <v>80</v>
      </c>
      <c r="D22" s="4" t="s">
        <v>248</v>
      </c>
      <c r="E22" s="4"/>
      <c r="F22" s="4" t="s">
        <v>192</v>
      </c>
      <c r="G22" s="4" t="s">
        <v>192</v>
      </c>
      <c r="H22" s="4" t="s">
        <v>485</v>
      </c>
      <c r="I22" s="4" t="s">
        <v>394</v>
      </c>
      <c r="J22" s="4" t="s">
        <v>394</v>
      </c>
      <c r="K22" s="4" t="s">
        <v>394</v>
      </c>
      <c r="M22" s="10"/>
    </row>
    <row r="23" spans="1:13" s="1" customFormat="1">
      <c r="A23" s="26" t="s">
        <v>481</v>
      </c>
      <c r="B23" s="28" t="s">
        <v>1498</v>
      </c>
      <c r="C23" s="28" t="s">
        <v>2233</v>
      </c>
      <c r="D23" s="28" t="s">
        <v>249</v>
      </c>
      <c r="E23" s="28" t="s">
        <v>603</v>
      </c>
      <c r="F23" s="28" t="s">
        <v>628</v>
      </c>
      <c r="G23" s="28" t="s">
        <v>636</v>
      </c>
      <c r="H23" s="28" t="s">
        <v>1501</v>
      </c>
      <c r="I23" s="28" t="s">
        <v>563</v>
      </c>
      <c r="J23" s="28" t="s">
        <v>563</v>
      </c>
      <c r="K23" s="28" t="s">
        <v>563</v>
      </c>
      <c r="L23" s="26"/>
      <c r="M23" s="10"/>
    </row>
    <row r="24" spans="1:13" s="1" customFormat="1">
      <c r="A24" s="1" t="s">
        <v>482</v>
      </c>
      <c r="B24" s="4" t="s">
        <v>541</v>
      </c>
      <c r="C24" s="4">
        <v>80</v>
      </c>
      <c r="D24" s="4" t="s">
        <v>248</v>
      </c>
      <c r="E24" s="4"/>
      <c r="F24" s="4" t="s">
        <v>486</v>
      </c>
      <c r="G24" s="4" t="s">
        <v>486</v>
      </c>
      <c r="H24" s="4" t="s">
        <v>472</v>
      </c>
      <c r="I24" s="4" t="s">
        <v>398</v>
      </c>
      <c r="J24" s="4" t="s">
        <v>398</v>
      </c>
      <c r="K24" s="4" t="s">
        <v>398</v>
      </c>
      <c r="M24" s="10"/>
    </row>
    <row r="25" spans="1:13" s="1" customFormat="1">
      <c r="A25" s="26" t="s">
        <v>2291</v>
      </c>
      <c r="B25" s="28" t="s">
        <v>1499</v>
      </c>
      <c r="C25" s="28" t="s">
        <v>2234</v>
      </c>
      <c r="D25" s="28" t="s">
        <v>249</v>
      </c>
      <c r="E25" s="28" t="s">
        <v>604</v>
      </c>
      <c r="F25" s="28" t="s">
        <v>627</v>
      </c>
      <c r="G25" s="28" t="s">
        <v>637</v>
      </c>
      <c r="H25" s="28" t="s">
        <v>1500</v>
      </c>
      <c r="I25" s="28" t="s">
        <v>564</v>
      </c>
      <c r="J25" s="28" t="s">
        <v>564</v>
      </c>
      <c r="K25" s="28" t="s">
        <v>564</v>
      </c>
      <c r="L25" s="26"/>
      <c r="M25" s="10"/>
    </row>
    <row r="26" spans="1:13" s="1" customFormat="1">
      <c r="A26" s="10" t="s">
        <v>1665</v>
      </c>
      <c r="B26" s="6" t="s">
        <v>1666</v>
      </c>
      <c r="C26" s="6" t="s">
        <v>211</v>
      </c>
      <c r="D26" s="6" t="s">
        <v>412</v>
      </c>
      <c r="E26" s="6" t="s">
        <v>365</v>
      </c>
      <c r="F26" s="6" t="s">
        <v>327</v>
      </c>
      <c r="G26" s="6" t="s">
        <v>389</v>
      </c>
      <c r="H26" s="6" t="s">
        <v>1671</v>
      </c>
      <c r="I26" s="6"/>
      <c r="J26" s="6"/>
      <c r="K26" s="6"/>
      <c r="L26" s="10"/>
      <c r="M26" s="10"/>
    </row>
    <row r="27" spans="1:13" s="1" customFormat="1">
      <c r="A27" s="26" t="s">
        <v>1665</v>
      </c>
      <c r="B27" s="28" t="s">
        <v>1666</v>
      </c>
      <c r="C27" s="28" t="s">
        <v>2229</v>
      </c>
      <c r="D27" s="28" t="s">
        <v>412</v>
      </c>
      <c r="E27" s="28" t="s">
        <v>365</v>
      </c>
      <c r="F27" s="28" t="s">
        <v>327</v>
      </c>
      <c r="G27" s="28" t="s">
        <v>392</v>
      </c>
      <c r="H27" s="28" t="s">
        <v>1670</v>
      </c>
      <c r="I27" s="28"/>
      <c r="J27" s="28"/>
      <c r="K27" s="28"/>
      <c r="L27" s="26"/>
      <c r="M27" s="10"/>
    </row>
    <row r="28" spans="1:13" s="1" customFormat="1">
      <c r="A28" s="10" t="s">
        <v>659</v>
      </c>
      <c r="B28" s="6" t="s">
        <v>512</v>
      </c>
      <c r="C28" s="6" t="s">
        <v>330</v>
      </c>
      <c r="D28" s="6" t="s">
        <v>330</v>
      </c>
      <c r="E28" s="6" t="s">
        <v>428</v>
      </c>
      <c r="F28" s="6" t="s">
        <v>156</v>
      </c>
      <c r="G28" s="6" t="s">
        <v>160</v>
      </c>
      <c r="H28" s="6" t="s">
        <v>158</v>
      </c>
      <c r="I28" s="6"/>
      <c r="J28" s="6"/>
      <c r="K28" s="6"/>
      <c r="L28" s="10" t="s">
        <v>1461</v>
      </c>
      <c r="M28" s="10"/>
    </row>
    <row r="29" spans="1:13" s="1" customFormat="1">
      <c r="A29" s="26" t="s">
        <v>734</v>
      </c>
      <c r="B29" s="28" t="s">
        <v>984</v>
      </c>
      <c r="C29" s="28" t="s">
        <v>212</v>
      </c>
      <c r="D29" s="28" t="s">
        <v>1669</v>
      </c>
      <c r="E29" s="28" t="s">
        <v>415</v>
      </c>
      <c r="F29" s="28" t="s">
        <v>327</v>
      </c>
      <c r="G29" s="28" t="s">
        <v>184</v>
      </c>
      <c r="H29" s="28" t="s">
        <v>154</v>
      </c>
      <c r="I29" s="28"/>
      <c r="J29" s="28"/>
      <c r="K29" s="28"/>
      <c r="L29" s="26" t="s">
        <v>1461</v>
      </c>
      <c r="M29" s="10"/>
    </row>
    <row r="30" spans="1:13" s="1" customFormat="1">
      <c r="A30" s="40" t="s">
        <v>1663</v>
      </c>
      <c r="B30" s="39" t="s">
        <v>984</v>
      </c>
      <c r="C30" s="39" t="s">
        <v>212</v>
      </c>
      <c r="D30" s="39" t="s">
        <v>1667</v>
      </c>
      <c r="E30" s="39" t="s">
        <v>415</v>
      </c>
      <c r="F30" s="39" t="s">
        <v>327</v>
      </c>
      <c r="G30" s="39" t="s">
        <v>184</v>
      </c>
      <c r="H30" s="39" t="s">
        <v>154</v>
      </c>
      <c r="I30" s="39"/>
      <c r="J30" s="39"/>
      <c r="K30" s="39"/>
      <c r="L30" s="40" t="s">
        <v>1461</v>
      </c>
      <c r="M30" s="10"/>
    </row>
    <row r="31" spans="1:13" s="1" customFormat="1">
      <c r="A31" s="40" t="s">
        <v>1664</v>
      </c>
      <c r="B31" s="39" t="s">
        <v>984</v>
      </c>
      <c r="C31" s="39" t="s">
        <v>212</v>
      </c>
      <c r="D31" s="39" t="s">
        <v>1668</v>
      </c>
      <c r="E31" s="39" t="s">
        <v>415</v>
      </c>
      <c r="F31" s="39" t="s">
        <v>327</v>
      </c>
      <c r="G31" s="39" t="s">
        <v>184</v>
      </c>
      <c r="H31" s="39" t="s">
        <v>154</v>
      </c>
      <c r="I31" s="39"/>
      <c r="J31" s="39"/>
      <c r="K31" s="39"/>
      <c r="L31" s="40" t="s">
        <v>1461</v>
      </c>
      <c r="M31" s="10"/>
    </row>
    <row r="32" spans="1:13" s="1" customFormat="1">
      <c r="A32" s="1" t="s">
        <v>384</v>
      </c>
      <c r="B32" s="4" t="s">
        <v>542</v>
      </c>
      <c r="C32" s="4">
        <v>80</v>
      </c>
      <c r="D32" s="4" t="s">
        <v>412</v>
      </c>
      <c r="E32" s="4">
        <v>-10</v>
      </c>
      <c r="F32" s="4" t="s">
        <v>385</v>
      </c>
      <c r="G32" s="4" t="s">
        <v>386</v>
      </c>
      <c r="H32" s="4" t="s">
        <v>387</v>
      </c>
      <c r="I32" s="4" t="s">
        <v>360</v>
      </c>
      <c r="J32" s="4" t="s">
        <v>360</v>
      </c>
      <c r="K32" s="4" t="s">
        <v>360</v>
      </c>
      <c r="M32" s="10"/>
    </row>
    <row r="33" spans="1:13" s="1" customFormat="1">
      <c r="A33" s="26" t="s">
        <v>2280</v>
      </c>
      <c r="B33" s="28" t="s">
        <v>599</v>
      </c>
      <c r="C33" s="28" t="s">
        <v>2227</v>
      </c>
      <c r="D33" s="28" t="s">
        <v>412</v>
      </c>
      <c r="E33" s="28" t="s">
        <v>368</v>
      </c>
      <c r="F33" s="28" t="s">
        <v>385</v>
      </c>
      <c r="G33" s="28" t="s">
        <v>386</v>
      </c>
      <c r="H33" s="28" t="s">
        <v>982</v>
      </c>
      <c r="I33" s="28" t="s">
        <v>360</v>
      </c>
      <c r="J33" s="28" t="s">
        <v>360</v>
      </c>
      <c r="K33" s="28" t="s">
        <v>360</v>
      </c>
      <c r="L33" s="26"/>
      <c r="M33" s="10"/>
    </row>
    <row r="34" spans="1:13" s="1" customFormat="1">
      <c r="A34" s="1" t="s">
        <v>399</v>
      </c>
      <c r="B34" s="4" t="s">
        <v>525</v>
      </c>
      <c r="C34" s="4">
        <v>80</v>
      </c>
      <c r="D34" s="4" t="s">
        <v>412</v>
      </c>
      <c r="E34" s="4" t="s">
        <v>409</v>
      </c>
      <c r="F34" s="4" t="s">
        <v>388</v>
      </c>
      <c r="G34" s="4" t="s">
        <v>389</v>
      </c>
      <c r="H34" s="4" t="s">
        <v>390</v>
      </c>
      <c r="I34" s="4" t="s">
        <v>357</v>
      </c>
      <c r="J34" s="4" t="s">
        <v>357</v>
      </c>
      <c r="K34" s="4" t="s">
        <v>357</v>
      </c>
      <c r="M34" s="10"/>
    </row>
    <row r="35" spans="1:13" s="1" customFormat="1">
      <c r="A35" s="26" t="s">
        <v>399</v>
      </c>
      <c r="B35" s="28" t="s">
        <v>606</v>
      </c>
      <c r="C35" s="28" t="s">
        <v>2228</v>
      </c>
      <c r="D35" s="28" t="s">
        <v>412</v>
      </c>
      <c r="E35" s="28" t="s">
        <v>371</v>
      </c>
      <c r="F35" s="28" t="s">
        <v>388</v>
      </c>
      <c r="G35" s="28" t="s">
        <v>389</v>
      </c>
      <c r="H35" s="28" t="s">
        <v>1504</v>
      </c>
      <c r="I35" s="28" t="s">
        <v>357</v>
      </c>
      <c r="J35" s="28" t="s">
        <v>357</v>
      </c>
      <c r="K35" s="28" t="s">
        <v>357</v>
      </c>
      <c r="L35" s="26"/>
      <c r="M35" s="10"/>
    </row>
    <row r="36" spans="1:13" s="1" customFormat="1">
      <c r="A36" s="1" t="s">
        <v>400</v>
      </c>
      <c r="B36" s="4" t="s">
        <v>543</v>
      </c>
      <c r="C36" s="4">
        <v>80</v>
      </c>
      <c r="D36" s="4" t="s">
        <v>412</v>
      </c>
      <c r="E36" s="4" t="s">
        <v>410</v>
      </c>
      <c r="F36" s="4" t="s">
        <v>391</v>
      </c>
      <c r="G36" s="4" t="s">
        <v>392</v>
      </c>
      <c r="H36" s="4" t="s">
        <v>393</v>
      </c>
      <c r="I36" s="4" t="s">
        <v>394</v>
      </c>
      <c r="J36" s="4" t="s">
        <v>394</v>
      </c>
      <c r="K36" s="4" t="s">
        <v>394</v>
      </c>
      <c r="M36" s="10"/>
    </row>
    <row r="37" spans="1:13" s="1" customFormat="1">
      <c r="A37" s="26" t="s">
        <v>400</v>
      </c>
      <c r="B37" s="28" t="s">
        <v>607</v>
      </c>
      <c r="C37" s="28" t="s">
        <v>2229</v>
      </c>
      <c r="D37" s="28" t="s">
        <v>412</v>
      </c>
      <c r="E37" s="28" t="s">
        <v>428</v>
      </c>
      <c r="F37" s="28" t="s">
        <v>391</v>
      </c>
      <c r="G37" s="28" t="s">
        <v>392</v>
      </c>
      <c r="H37" s="28" t="s">
        <v>1505</v>
      </c>
      <c r="I37" s="28" t="s">
        <v>394</v>
      </c>
      <c r="J37" s="28" t="s">
        <v>394</v>
      </c>
      <c r="K37" s="28" t="s">
        <v>394</v>
      </c>
      <c r="L37" s="26"/>
      <c r="M37" s="10"/>
    </row>
    <row r="38" spans="1:13" s="1" customFormat="1">
      <c r="A38" s="1" t="s">
        <v>401</v>
      </c>
      <c r="B38" s="4" t="s">
        <v>544</v>
      </c>
      <c r="C38" s="4">
        <v>80</v>
      </c>
      <c r="D38" s="4" t="s">
        <v>412</v>
      </c>
      <c r="E38" s="4" t="s">
        <v>402</v>
      </c>
      <c r="F38" s="4" t="s">
        <v>395</v>
      </c>
      <c r="G38" s="4" t="s">
        <v>396</v>
      </c>
      <c r="H38" s="4" t="s">
        <v>397</v>
      </c>
      <c r="I38" s="4" t="s">
        <v>398</v>
      </c>
      <c r="J38" s="4" t="s">
        <v>398</v>
      </c>
      <c r="K38" s="4" t="s">
        <v>398</v>
      </c>
      <c r="M38" s="10"/>
    </row>
    <row r="39" spans="1:13" s="1" customFormat="1">
      <c r="A39" s="26" t="s">
        <v>2292</v>
      </c>
      <c r="B39" s="28" t="s">
        <v>268</v>
      </c>
      <c r="C39" s="28" t="s">
        <v>2230</v>
      </c>
      <c r="D39" s="28" t="s">
        <v>412</v>
      </c>
      <c r="E39" s="28" t="s">
        <v>415</v>
      </c>
      <c r="F39" s="28" t="s">
        <v>395</v>
      </c>
      <c r="G39" s="28" t="s">
        <v>396</v>
      </c>
      <c r="H39" s="28" t="s">
        <v>1506</v>
      </c>
      <c r="I39" s="28" t="s">
        <v>398</v>
      </c>
      <c r="J39" s="28" t="s">
        <v>398</v>
      </c>
      <c r="K39" s="28" t="s">
        <v>398</v>
      </c>
      <c r="L39" s="26"/>
      <c r="M39" s="10"/>
    </row>
    <row r="40" spans="1:13" s="1" customFormat="1">
      <c r="A40" s="1" t="s">
        <v>355</v>
      </c>
      <c r="B40" s="4" t="s">
        <v>633</v>
      </c>
      <c r="C40" s="4">
        <v>150</v>
      </c>
      <c r="D40" s="4" t="s">
        <v>662</v>
      </c>
      <c r="E40" s="4" t="s">
        <v>356</v>
      </c>
      <c r="F40" s="4">
        <v>14</v>
      </c>
      <c r="G40" s="4">
        <v>23</v>
      </c>
      <c r="H40" s="4"/>
      <c r="I40" s="4" t="s">
        <v>357</v>
      </c>
      <c r="J40" s="4"/>
      <c r="K40" s="4"/>
    </row>
    <row r="41" spans="1:13" s="1" customFormat="1">
      <c r="A41" s="26" t="s">
        <v>355</v>
      </c>
      <c r="B41" s="28" t="s">
        <v>512</v>
      </c>
      <c r="C41" s="28">
        <v>200</v>
      </c>
      <c r="D41" s="28" t="s">
        <v>841</v>
      </c>
      <c r="E41" s="28" t="s">
        <v>358</v>
      </c>
      <c r="F41" s="28" t="s">
        <v>155</v>
      </c>
      <c r="G41" s="28" t="s">
        <v>364</v>
      </c>
      <c r="H41" s="28" t="s">
        <v>154</v>
      </c>
      <c r="I41" s="28" t="s">
        <v>415</v>
      </c>
      <c r="J41" s="28"/>
      <c r="K41" s="28"/>
      <c r="L41" s="26"/>
    </row>
    <row r="42" spans="1:13" s="1" customFormat="1">
      <c r="A42" s="1" t="s">
        <v>361</v>
      </c>
      <c r="B42" s="4" t="s">
        <v>633</v>
      </c>
      <c r="C42" s="4">
        <v>150</v>
      </c>
      <c r="D42" s="4" t="s">
        <v>413</v>
      </c>
      <c r="E42" s="4" t="s">
        <v>362</v>
      </c>
      <c r="F42" s="4" t="s">
        <v>363</v>
      </c>
      <c r="G42" s="4" t="s">
        <v>364</v>
      </c>
      <c r="H42" s="4" t="s">
        <v>158</v>
      </c>
      <c r="I42" s="4" t="s">
        <v>365</v>
      </c>
      <c r="J42" s="4"/>
      <c r="K42" s="4"/>
      <c r="M42" s="10"/>
    </row>
    <row r="43" spans="1:13" s="1" customFormat="1">
      <c r="A43" s="26" t="s">
        <v>361</v>
      </c>
      <c r="B43" s="28" t="s">
        <v>223</v>
      </c>
      <c r="C43" s="28">
        <v>200</v>
      </c>
      <c r="D43" s="28" t="s">
        <v>663</v>
      </c>
      <c r="E43" s="28" t="s">
        <v>362</v>
      </c>
      <c r="F43" s="28" t="s">
        <v>417</v>
      </c>
      <c r="G43" s="28" t="s">
        <v>418</v>
      </c>
      <c r="H43" s="28" t="s">
        <v>982</v>
      </c>
      <c r="I43" s="28" t="s">
        <v>368</v>
      </c>
      <c r="J43" s="28" t="s">
        <v>360</v>
      </c>
      <c r="K43" s="28"/>
      <c r="L43" s="26"/>
      <c r="M43" s="10"/>
    </row>
    <row r="44" spans="1:13" s="1" customFormat="1">
      <c r="A44" s="1" t="s">
        <v>369</v>
      </c>
      <c r="B44" s="4" t="s">
        <v>639</v>
      </c>
      <c r="C44" s="4">
        <v>150</v>
      </c>
      <c r="D44" s="4" t="s">
        <v>662</v>
      </c>
      <c r="E44" s="4" t="s">
        <v>370</v>
      </c>
      <c r="F44" s="4">
        <v>14</v>
      </c>
      <c r="G44" s="4">
        <v>23</v>
      </c>
      <c r="H44" s="4" t="s">
        <v>158</v>
      </c>
      <c r="I44" s="4" t="s">
        <v>371</v>
      </c>
      <c r="J44" s="4"/>
      <c r="K44" s="4"/>
      <c r="M44" s="10"/>
    </row>
    <row r="45" spans="1:13" s="1" customFormat="1">
      <c r="A45" s="26" t="s">
        <v>369</v>
      </c>
      <c r="B45" s="28" t="s">
        <v>223</v>
      </c>
      <c r="C45" s="28">
        <v>200</v>
      </c>
      <c r="D45" s="28" t="s">
        <v>842</v>
      </c>
      <c r="E45" s="28" t="s">
        <v>370</v>
      </c>
      <c r="F45" s="28" t="s">
        <v>160</v>
      </c>
      <c r="G45" s="28" t="s">
        <v>605</v>
      </c>
      <c r="H45" s="28" t="s">
        <v>153</v>
      </c>
      <c r="I45" s="28" t="s">
        <v>371</v>
      </c>
      <c r="J45" s="28"/>
      <c r="K45" s="28"/>
      <c r="L45" s="26"/>
      <c r="M45" s="10"/>
    </row>
    <row r="46" spans="1:13">
      <c r="A46" s="1" t="s">
        <v>416</v>
      </c>
      <c r="B46" s="34">
        <v>1057</v>
      </c>
      <c r="C46" s="4" t="s">
        <v>412</v>
      </c>
      <c r="D46" s="4" t="s">
        <v>204</v>
      </c>
      <c r="E46" s="4" t="s">
        <v>414</v>
      </c>
      <c r="F46" s="4" t="s">
        <v>417</v>
      </c>
      <c r="G46" s="4" t="s">
        <v>418</v>
      </c>
      <c r="H46" s="4" t="s">
        <v>387</v>
      </c>
      <c r="I46" s="4" t="s">
        <v>365</v>
      </c>
      <c r="J46" s="4" t="s">
        <v>360</v>
      </c>
      <c r="K46" s="4" t="s">
        <v>360</v>
      </c>
      <c r="M46" s="19"/>
    </row>
    <row r="47" spans="1:13">
      <c r="A47" s="26" t="s">
        <v>2281</v>
      </c>
      <c r="B47" s="33">
        <v>1000</v>
      </c>
      <c r="C47" s="28" t="s">
        <v>2224</v>
      </c>
      <c r="D47" s="28" t="s">
        <v>204</v>
      </c>
      <c r="E47" s="28" t="s">
        <v>595</v>
      </c>
      <c r="F47" s="28" t="s">
        <v>594</v>
      </c>
      <c r="G47" s="28" t="s">
        <v>593</v>
      </c>
      <c r="H47" s="28" t="s">
        <v>592</v>
      </c>
      <c r="I47" s="28" t="s">
        <v>591</v>
      </c>
      <c r="J47" s="28" t="s">
        <v>435</v>
      </c>
      <c r="K47" s="28" t="s">
        <v>435</v>
      </c>
      <c r="L47" s="30"/>
      <c r="M47" s="19"/>
    </row>
    <row r="48" spans="1:13">
      <c r="A48" s="1" t="s">
        <v>419</v>
      </c>
      <c r="B48" s="34">
        <v>1620</v>
      </c>
      <c r="C48" s="4" t="s">
        <v>412</v>
      </c>
      <c r="D48" s="4" t="s">
        <v>204</v>
      </c>
      <c r="E48" s="4" t="s">
        <v>640</v>
      </c>
      <c r="F48" s="4" t="s">
        <v>422</v>
      </c>
      <c r="G48" s="4" t="s">
        <v>423</v>
      </c>
      <c r="H48" s="4" t="s">
        <v>390</v>
      </c>
      <c r="I48" s="4" t="s">
        <v>368</v>
      </c>
      <c r="J48" s="4" t="s">
        <v>357</v>
      </c>
      <c r="K48" s="4" t="s">
        <v>357</v>
      </c>
      <c r="M48" s="19"/>
    </row>
    <row r="49" spans="1:19">
      <c r="A49" s="26" t="s">
        <v>419</v>
      </c>
      <c r="B49" s="33">
        <v>1550</v>
      </c>
      <c r="C49" s="28" t="s">
        <v>2223</v>
      </c>
      <c r="D49" s="28" t="s">
        <v>204</v>
      </c>
      <c r="E49" s="28" t="s">
        <v>590</v>
      </c>
      <c r="F49" s="28" t="s">
        <v>589</v>
      </c>
      <c r="G49" s="28" t="s">
        <v>588</v>
      </c>
      <c r="H49" s="28" t="s">
        <v>587</v>
      </c>
      <c r="I49" s="28" t="s">
        <v>586</v>
      </c>
      <c r="J49" s="28" t="s">
        <v>449</v>
      </c>
      <c r="K49" s="28" t="s">
        <v>449</v>
      </c>
      <c r="L49" s="30"/>
      <c r="M49" s="19"/>
    </row>
    <row r="50" spans="1:19">
      <c r="A50" s="1" t="s">
        <v>420</v>
      </c>
      <c r="B50" s="34">
        <v>2557</v>
      </c>
      <c r="C50" s="4" t="s">
        <v>412</v>
      </c>
      <c r="D50" s="4" t="s">
        <v>204</v>
      </c>
      <c r="E50" s="4" t="s">
        <v>356</v>
      </c>
      <c r="F50" s="4" t="s">
        <v>424</v>
      </c>
      <c r="G50" s="4" t="s">
        <v>425</v>
      </c>
      <c r="H50" s="4" t="s">
        <v>393</v>
      </c>
      <c r="I50" s="4" t="s">
        <v>371</v>
      </c>
      <c r="J50" s="4" t="s">
        <v>394</v>
      </c>
      <c r="K50" s="4" t="s">
        <v>394</v>
      </c>
      <c r="M50" s="19"/>
    </row>
    <row r="51" spans="1:19">
      <c r="A51" s="26" t="s">
        <v>420</v>
      </c>
      <c r="B51" s="33">
        <v>2350</v>
      </c>
      <c r="C51" s="28" t="s">
        <v>2225</v>
      </c>
      <c r="D51" s="28" t="s">
        <v>204</v>
      </c>
      <c r="E51" s="28" t="s">
        <v>430</v>
      </c>
      <c r="F51" s="28" t="s">
        <v>548</v>
      </c>
      <c r="G51" s="28" t="s">
        <v>547</v>
      </c>
      <c r="H51" s="28" t="s">
        <v>546</v>
      </c>
      <c r="I51" s="28" t="s">
        <v>545</v>
      </c>
      <c r="J51" s="28" t="s">
        <v>408</v>
      </c>
      <c r="K51" s="28" t="s">
        <v>408</v>
      </c>
      <c r="L51" s="30"/>
      <c r="M51" s="19"/>
    </row>
    <row r="52" spans="1:19">
      <c r="A52" s="1" t="s">
        <v>421</v>
      </c>
      <c r="B52" s="34">
        <v>3870</v>
      </c>
      <c r="C52" s="4" t="s">
        <v>412</v>
      </c>
      <c r="D52" s="4" t="s">
        <v>204</v>
      </c>
      <c r="E52" s="4" t="s">
        <v>641</v>
      </c>
      <c r="F52" s="4" t="s">
        <v>426</v>
      </c>
      <c r="G52" s="4" t="s">
        <v>427</v>
      </c>
      <c r="H52" s="4" t="s">
        <v>397</v>
      </c>
      <c r="I52" s="4" t="s">
        <v>428</v>
      </c>
      <c r="J52" s="4" t="s">
        <v>398</v>
      </c>
      <c r="K52" s="4" t="s">
        <v>398</v>
      </c>
      <c r="M52" s="19"/>
    </row>
    <row r="53" spans="1:19">
      <c r="A53" s="26" t="s">
        <v>2293</v>
      </c>
      <c r="B53" s="33">
        <v>3400</v>
      </c>
      <c r="C53" s="28" t="s">
        <v>2226</v>
      </c>
      <c r="D53" s="28" t="s">
        <v>204</v>
      </c>
      <c r="E53" s="28" t="s">
        <v>585</v>
      </c>
      <c r="F53" s="28" t="s">
        <v>584</v>
      </c>
      <c r="G53" s="28" t="s">
        <v>583</v>
      </c>
      <c r="H53" s="28" t="s">
        <v>582</v>
      </c>
      <c r="I53" s="28" t="s">
        <v>581</v>
      </c>
      <c r="J53" s="28" t="s">
        <v>580</v>
      </c>
      <c r="K53" s="28" t="s">
        <v>580</v>
      </c>
      <c r="L53" s="30"/>
      <c r="M53" s="19"/>
    </row>
    <row r="54" spans="1:19">
      <c r="A54" s="1" t="s">
        <v>411</v>
      </c>
      <c r="B54" s="34">
        <v>1150</v>
      </c>
      <c r="C54" s="4" t="s">
        <v>413</v>
      </c>
      <c r="D54" s="4" t="s">
        <v>664</v>
      </c>
      <c r="E54" s="4" t="s">
        <v>414</v>
      </c>
      <c r="F54" s="4" t="s">
        <v>363</v>
      </c>
      <c r="G54" s="4" t="s">
        <v>366</v>
      </c>
      <c r="H54" s="4" t="s">
        <v>397</v>
      </c>
      <c r="I54" s="4" t="s">
        <v>415</v>
      </c>
      <c r="J54" s="4" t="s">
        <v>360</v>
      </c>
      <c r="K54" s="4" t="s">
        <v>398</v>
      </c>
      <c r="L54" s="19"/>
      <c r="M54" s="19"/>
    </row>
    <row r="55" spans="1:19">
      <c r="A55" s="26" t="s">
        <v>411</v>
      </c>
      <c r="B55" s="33">
        <v>2552</v>
      </c>
      <c r="C55" s="28" t="s">
        <v>203</v>
      </c>
      <c r="D55" s="28" t="s">
        <v>840</v>
      </c>
      <c r="E55" s="28" t="s">
        <v>362</v>
      </c>
      <c r="F55" s="28" t="s">
        <v>458</v>
      </c>
      <c r="G55" s="28" t="s">
        <v>461</v>
      </c>
      <c r="H55" s="28" t="s">
        <v>643</v>
      </c>
      <c r="I55" s="28" t="s">
        <v>609</v>
      </c>
      <c r="J55" s="28" t="s">
        <v>647</v>
      </c>
      <c r="K55" s="28" t="s">
        <v>598</v>
      </c>
      <c r="L55" s="30"/>
      <c r="M55" s="19"/>
    </row>
    <row r="56" spans="1:19" s="1" customFormat="1">
      <c r="A56" s="1" t="s">
        <v>833</v>
      </c>
      <c r="B56" s="1" t="s">
        <v>687</v>
      </c>
      <c r="C56" s="4" t="s">
        <v>248</v>
      </c>
      <c r="D56" s="4" t="s">
        <v>212</v>
      </c>
      <c r="E56" s="4">
        <v>-25</v>
      </c>
      <c r="F56" s="4" t="s">
        <v>242</v>
      </c>
      <c r="G56" s="4" t="s">
        <v>184</v>
      </c>
      <c r="H56" s="4" t="s">
        <v>478</v>
      </c>
      <c r="I56" s="4" t="s">
        <v>478</v>
      </c>
      <c r="J56" s="4" t="s">
        <v>478</v>
      </c>
      <c r="K56" s="4" t="s">
        <v>834</v>
      </c>
      <c r="L56" s="1" t="s">
        <v>848</v>
      </c>
    </row>
    <row r="57" spans="1:19" s="1" customFormat="1">
      <c r="A57" s="26" t="s">
        <v>853</v>
      </c>
      <c r="B57" s="26" t="s">
        <v>513</v>
      </c>
      <c r="C57" s="28" t="s">
        <v>565</v>
      </c>
      <c r="D57" s="28" t="s">
        <v>380</v>
      </c>
      <c r="E57" s="28">
        <v>-25</v>
      </c>
      <c r="F57" s="28" t="s">
        <v>184</v>
      </c>
      <c r="G57" s="28" t="s">
        <v>461</v>
      </c>
      <c r="H57" s="28" t="s">
        <v>843</v>
      </c>
      <c r="I57" s="28" t="s">
        <v>844</v>
      </c>
      <c r="J57" s="28" t="s">
        <v>477</v>
      </c>
      <c r="K57" s="28"/>
      <c r="L57" s="26" t="s">
        <v>850</v>
      </c>
    </row>
    <row r="58" spans="1:19" s="1" customFormat="1">
      <c r="A58" s="1" t="s">
        <v>911</v>
      </c>
      <c r="B58" s="1" t="s">
        <v>851</v>
      </c>
      <c r="C58" s="4" t="s">
        <v>838</v>
      </c>
      <c r="D58" s="4" t="s">
        <v>212</v>
      </c>
      <c r="E58" s="4" t="s">
        <v>362</v>
      </c>
      <c r="F58" s="4" t="s">
        <v>837</v>
      </c>
      <c r="G58" s="4" t="s">
        <v>158</v>
      </c>
      <c r="H58" s="4" t="s">
        <v>360</v>
      </c>
      <c r="I58" s="4"/>
      <c r="J58" s="4"/>
      <c r="K58" s="4"/>
      <c r="L58" s="1" t="s">
        <v>849</v>
      </c>
    </row>
    <row r="59" spans="1:19" s="1" customFormat="1">
      <c r="A59" s="26" t="s">
        <v>836</v>
      </c>
      <c r="B59" s="26" t="s">
        <v>852</v>
      </c>
      <c r="C59" s="28" t="s">
        <v>565</v>
      </c>
      <c r="D59" s="28" t="s">
        <v>380</v>
      </c>
      <c r="E59" s="28" t="s">
        <v>414</v>
      </c>
      <c r="F59" s="28" t="s">
        <v>854</v>
      </c>
      <c r="G59" s="28" t="s">
        <v>855</v>
      </c>
      <c r="H59" s="28" t="s">
        <v>153</v>
      </c>
      <c r="I59" s="28" t="s">
        <v>613</v>
      </c>
      <c r="J59" s="28"/>
      <c r="K59" s="28"/>
      <c r="L59" s="26" t="s">
        <v>848</v>
      </c>
    </row>
    <row r="60" spans="1:19" s="1" customFormat="1">
      <c r="A60" s="1" t="s">
        <v>2121</v>
      </c>
      <c r="B60" s="4" t="s">
        <v>2124</v>
      </c>
      <c r="C60" s="4" t="s">
        <v>283</v>
      </c>
      <c r="D60" s="4" t="s">
        <v>353</v>
      </c>
      <c r="E60" s="4">
        <v>-80</v>
      </c>
      <c r="F60" s="4" t="s">
        <v>2122</v>
      </c>
      <c r="G60" s="4" t="s">
        <v>2123</v>
      </c>
      <c r="H60" s="4" t="s">
        <v>454</v>
      </c>
      <c r="I60" s="4">
        <v>-20</v>
      </c>
      <c r="J60" s="4"/>
      <c r="K60" s="4"/>
      <c r="L60" s="1" t="s">
        <v>2297</v>
      </c>
      <c r="M60" s="10"/>
      <c r="N60" s="10"/>
      <c r="O60" s="10"/>
      <c r="P60" s="10"/>
      <c r="Q60" s="10"/>
      <c r="R60" s="10"/>
      <c r="S60" s="10"/>
    </row>
    <row r="61" spans="1:19" s="1" customFormat="1">
      <c r="A61" s="26" t="s">
        <v>2121</v>
      </c>
      <c r="B61" s="28" t="s">
        <v>290</v>
      </c>
      <c r="C61" s="28" t="s">
        <v>283</v>
      </c>
      <c r="D61" s="28" t="s">
        <v>373</v>
      </c>
      <c r="E61" s="28">
        <v>-80</v>
      </c>
      <c r="F61" s="28" t="s">
        <v>2125</v>
      </c>
      <c r="G61" s="28" t="s">
        <v>453</v>
      </c>
      <c r="H61" s="28" t="s">
        <v>452</v>
      </c>
      <c r="I61" s="28" t="s">
        <v>370</v>
      </c>
      <c r="J61" s="28" t="s">
        <v>454</v>
      </c>
      <c r="K61" s="28"/>
      <c r="L61" s="26" t="s">
        <v>2298</v>
      </c>
      <c r="M61" s="10"/>
      <c r="N61" s="10"/>
      <c r="O61" s="10"/>
      <c r="P61" s="10"/>
      <c r="Q61" s="10"/>
      <c r="R61" s="10"/>
      <c r="S61" s="10"/>
    </row>
    <row r="62" spans="1:19" s="1" customFormat="1">
      <c r="A62" s="40" t="s">
        <v>2126</v>
      </c>
      <c r="B62" s="39" t="s">
        <v>290</v>
      </c>
      <c r="C62" s="39" t="s">
        <v>283</v>
      </c>
      <c r="D62" s="39" t="s">
        <v>337</v>
      </c>
      <c r="E62" s="39">
        <v>-80</v>
      </c>
      <c r="F62" s="39" t="s">
        <v>2125</v>
      </c>
      <c r="G62" s="39" t="s">
        <v>453</v>
      </c>
      <c r="H62" s="39" t="s">
        <v>452</v>
      </c>
      <c r="I62" s="39" t="s">
        <v>370</v>
      </c>
      <c r="J62" s="39" t="s">
        <v>454</v>
      </c>
      <c r="K62" s="39"/>
      <c r="L62" s="40" t="s">
        <v>2298</v>
      </c>
      <c r="M62" s="10"/>
      <c r="N62" s="10"/>
      <c r="O62" s="10"/>
      <c r="P62" s="10"/>
      <c r="Q62" s="10"/>
      <c r="R62" s="10"/>
      <c r="S62" s="10"/>
    </row>
    <row r="63" spans="1:19" s="1" customFormat="1">
      <c r="A63" s="1" t="s">
        <v>432</v>
      </c>
      <c r="B63" s="4" t="s">
        <v>645</v>
      </c>
      <c r="C63" s="4">
        <v>400</v>
      </c>
      <c r="D63" s="4" t="s">
        <v>337</v>
      </c>
      <c r="E63" s="4">
        <v>-80</v>
      </c>
      <c r="F63" s="4" t="s">
        <v>433</v>
      </c>
      <c r="G63" s="4" t="s">
        <v>434</v>
      </c>
      <c r="H63" s="4" t="s">
        <v>444</v>
      </c>
      <c r="I63" s="4">
        <v>-20</v>
      </c>
      <c r="J63" s="4" t="s">
        <v>435</v>
      </c>
      <c r="K63" s="4" t="s">
        <v>435</v>
      </c>
      <c r="M63" s="10"/>
      <c r="N63" s="10"/>
      <c r="O63" s="10"/>
      <c r="P63" s="10"/>
      <c r="Q63" s="10"/>
      <c r="R63" s="10"/>
      <c r="S63" s="10"/>
    </row>
    <row r="64" spans="1:19" s="1" customFormat="1">
      <c r="A64" s="26" t="s">
        <v>2282</v>
      </c>
      <c r="B64" s="28" t="s">
        <v>1244</v>
      </c>
      <c r="C64" s="28" t="s">
        <v>2219</v>
      </c>
      <c r="D64" s="28" t="s">
        <v>337</v>
      </c>
      <c r="E64" s="28" t="s">
        <v>2200</v>
      </c>
      <c r="F64" s="28" t="s">
        <v>2204</v>
      </c>
      <c r="G64" s="28" t="s">
        <v>2211</v>
      </c>
      <c r="H64" s="28" t="s">
        <v>2215</v>
      </c>
      <c r="I64" s="28" t="s">
        <v>2216</v>
      </c>
      <c r="J64" s="28" t="s">
        <v>459</v>
      </c>
      <c r="K64" s="28" t="s">
        <v>404</v>
      </c>
      <c r="L64" s="26"/>
      <c r="M64" s="10"/>
      <c r="N64" s="10"/>
      <c r="O64" s="10"/>
      <c r="P64" s="10"/>
      <c r="Q64" s="10"/>
      <c r="R64" s="10"/>
      <c r="S64" s="10"/>
    </row>
    <row r="65" spans="1:19" s="1" customFormat="1">
      <c r="A65" s="1" t="s">
        <v>436</v>
      </c>
      <c r="B65" s="4" t="s">
        <v>579</v>
      </c>
      <c r="C65" s="4">
        <v>400</v>
      </c>
      <c r="D65" s="4" t="s">
        <v>337</v>
      </c>
      <c r="E65" s="4" t="s">
        <v>443</v>
      </c>
      <c r="F65" s="4" t="s">
        <v>439</v>
      </c>
      <c r="G65" s="4" t="s">
        <v>440</v>
      </c>
      <c r="H65" s="4" t="s">
        <v>441</v>
      </c>
      <c r="I65" s="4" t="s">
        <v>442</v>
      </c>
      <c r="J65" s="4" t="s">
        <v>406</v>
      </c>
      <c r="K65" s="4" t="s">
        <v>406</v>
      </c>
      <c r="M65" s="10"/>
      <c r="N65" s="10"/>
      <c r="O65" s="10"/>
      <c r="P65" s="10"/>
      <c r="Q65" s="10"/>
      <c r="R65" s="10"/>
      <c r="S65" s="10"/>
    </row>
    <row r="66" spans="1:19" s="1" customFormat="1">
      <c r="A66" s="26" t="s">
        <v>436</v>
      </c>
      <c r="B66" s="28" t="s">
        <v>2198</v>
      </c>
      <c r="C66" s="28" t="s">
        <v>2220</v>
      </c>
      <c r="D66" s="28" t="s">
        <v>337</v>
      </c>
      <c r="E66" s="28" t="s">
        <v>2201</v>
      </c>
      <c r="F66" s="28" t="s">
        <v>2205</v>
      </c>
      <c r="G66" s="28" t="s">
        <v>2210</v>
      </c>
      <c r="H66" s="28" t="s">
        <v>2214</v>
      </c>
      <c r="I66" s="28" t="s">
        <v>402</v>
      </c>
      <c r="J66" s="28" t="s">
        <v>439</v>
      </c>
      <c r="K66" s="28" t="s">
        <v>406</v>
      </c>
      <c r="L66" s="26"/>
      <c r="M66" s="10"/>
      <c r="N66" s="10"/>
      <c r="O66" s="10"/>
      <c r="P66" s="10"/>
      <c r="Q66" s="10"/>
      <c r="R66" s="10"/>
      <c r="S66" s="10"/>
    </row>
    <row r="67" spans="1:19" s="1" customFormat="1">
      <c r="A67" s="1" t="s">
        <v>437</v>
      </c>
      <c r="B67" s="4" t="s">
        <v>646</v>
      </c>
      <c r="C67" s="4">
        <v>400</v>
      </c>
      <c r="D67" s="4" t="s">
        <v>337</v>
      </c>
      <c r="E67" s="4" t="s">
        <v>445</v>
      </c>
      <c r="F67" s="4" t="s">
        <v>446</v>
      </c>
      <c r="G67" s="4" t="s">
        <v>447</v>
      </c>
      <c r="H67" s="4" t="s">
        <v>448</v>
      </c>
      <c r="I67" s="4" t="s">
        <v>370</v>
      </c>
      <c r="J67" s="4" t="s">
        <v>449</v>
      </c>
      <c r="K67" s="4" t="s">
        <v>449</v>
      </c>
      <c r="M67" s="10"/>
      <c r="N67" s="10"/>
      <c r="O67" s="10"/>
      <c r="P67" s="10"/>
      <c r="Q67" s="10"/>
      <c r="R67" s="10"/>
      <c r="S67" s="10"/>
    </row>
    <row r="68" spans="1:19" s="1" customFormat="1">
      <c r="A68" s="26" t="s">
        <v>437</v>
      </c>
      <c r="B68" s="28" t="s">
        <v>2199</v>
      </c>
      <c r="C68" s="28" t="s">
        <v>2221</v>
      </c>
      <c r="D68" s="28" t="s">
        <v>337</v>
      </c>
      <c r="E68" s="28" t="s">
        <v>2202</v>
      </c>
      <c r="F68" s="28" t="s">
        <v>2206</v>
      </c>
      <c r="G68" s="28" t="s">
        <v>2209</v>
      </c>
      <c r="H68" s="28" t="s">
        <v>2213</v>
      </c>
      <c r="I68" s="28" t="s">
        <v>2217</v>
      </c>
      <c r="J68" s="28" t="s">
        <v>462</v>
      </c>
      <c r="K68" s="28" t="s">
        <v>407</v>
      </c>
      <c r="L68" s="26"/>
      <c r="M68" s="10"/>
      <c r="N68" s="10"/>
      <c r="O68" s="10"/>
      <c r="P68" s="10"/>
      <c r="Q68" s="10"/>
      <c r="R68" s="10"/>
      <c r="S68" s="10"/>
    </row>
    <row r="69" spans="1:19" s="1" customFormat="1">
      <c r="A69" s="1" t="s">
        <v>438</v>
      </c>
      <c r="B69" s="4" t="s">
        <v>381</v>
      </c>
      <c r="C69" s="4">
        <v>400</v>
      </c>
      <c r="D69" s="4" t="s">
        <v>337</v>
      </c>
      <c r="E69" s="4" t="s">
        <v>451</v>
      </c>
      <c r="F69" s="4" t="s">
        <v>452</v>
      </c>
      <c r="G69" s="4" t="s">
        <v>453</v>
      </c>
      <c r="H69" s="4" t="s">
        <v>454</v>
      </c>
      <c r="I69" s="4" t="s">
        <v>372</v>
      </c>
      <c r="J69" s="4" t="s">
        <v>357</v>
      </c>
      <c r="K69" s="4" t="s">
        <v>357</v>
      </c>
      <c r="M69" s="10"/>
      <c r="N69" s="10"/>
      <c r="O69" s="10"/>
      <c r="P69" s="10"/>
      <c r="Q69" s="10"/>
      <c r="R69" s="10"/>
      <c r="S69" s="10"/>
    </row>
    <row r="70" spans="1:19" s="1" customFormat="1">
      <c r="A70" s="26" t="s">
        <v>2294</v>
      </c>
      <c r="B70" s="28" t="s">
        <v>378</v>
      </c>
      <c r="C70" s="28" t="s">
        <v>2222</v>
      </c>
      <c r="D70" s="28" t="s">
        <v>337</v>
      </c>
      <c r="E70" s="28" t="s">
        <v>2203</v>
      </c>
      <c r="F70" s="28" t="s">
        <v>2207</v>
      </c>
      <c r="G70" s="28" t="s">
        <v>2208</v>
      </c>
      <c r="H70" s="28" t="s">
        <v>2212</v>
      </c>
      <c r="I70" s="28" t="s">
        <v>2218</v>
      </c>
      <c r="J70" s="28" t="s">
        <v>463</v>
      </c>
      <c r="K70" s="28" t="s">
        <v>408</v>
      </c>
      <c r="L70" s="26"/>
      <c r="M70" s="10"/>
      <c r="N70" s="10"/>
      <c r="O70" s="10"/>
      <c r="P70" s="10"/>
      <c r="Q70" s="10"/>
      <c r="R70" s="10"/>
      <c r="S70" s="10"/>
    </row>
    <row r="71" spans="1:19">
      <c r="A71" s="1" t="s">
        <v>431</v>
      </c>
      <c r="B71" s="34">
        <v>1070</v>
      </c>
      <c r="C71" s="4" t="s">
        <v>380</v>
      </c>
      <c r="D71" s="4" t="s">
        <v>373</v>
      </c>
      <c r="E71" s="4" t="s">
        <v>450</v>
      </c>
      <c r="F71" s="4" t="s">
        <v>455</v>
      </c>
      <c r="G71" s="4" t="s">
        <v>456</v>
      </c>
      <c r="H71" s="4" t="s">
        <v>455</v>
      </c>
      <c r="I71" s="4" t="s">
        <v>457</v>
      </c>
      <c r="J71" s="4" t="s">
        <v>158</v>
      </c>
      <c r="K71" s="4" t="s">
        <v>398</v>
      </c>
      <c r="L71" s="36"/>
      <c r="M71" s="19"/>
    </row>
    <row r="72" spans="1:19">
      <c r="A72" s="26" t="s">
        <v>431</v>
      </c>
      <c r="B72" s="33">
        <v>4096</v>
      </c>
      <c r="C72" s="28" t="s">
        <v>204</v>
      </c>
      <c r="D72" s="28" t="s">
        <v>839</v>
      </c>
      <c r="E72" s="28" t="s">
        <v>460</v>
      </c>
      <c r="F72" s="28" t="s">
        <v>377</v>
      </c>
      <c r="G72" s="28" t="s">
        <v>247</v>
      </c>
      <c r="H72" s="28" t="s">
        <v>642</v>
      </c>
      <c r="I72" s="28" t="s">
        <v>596</v>
      </c>
      <c r="J72" s="28" t="s">
        <v>597</v>
      </c>
      <c r="K72" s="28" t="s">
        <v>598</v>
      </c>
      <c r="L72" s="30"/>
      <c r="M72" s="19"/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9"/>
  <sheetViews>
    <sheetView workbookViewId="0">
      <pane ySplit="1" topLeftCell="A2" activePane="bottomLeft" state="frozen"/>
      <selection pane="bottomLeft" activeCell="M3" sqref="M3:N5"/>
    </sheetView>
  </sheetViews>
  <sheetFormatPr defaultRowHeight="15"/>
  <cols>
    <col min="1" max="1" width="32.85546875" customWidth="1"/>
    <col min="2" max="2" width="11.42578125" style="4" customWidth="1"/>
    <col min="3" max="3" width="11.42578125" style="3" customWidth="1"/>
    <col min="4" max="4" width="7.85546875" style="4" customWidth="1"/>
    <col min="5" max="10" width="7.85546875" style="3" customWidth="1"/>
    <col min="11" max="11" width="56.42578125" customWidth="1"/>
    <col min="12" max="12" width="9.140625" customWidth="1"/>
    <col min="14" max="14" width="15.7109375" customWidth="1"/>
    <col min="15" max="15" width="9.140625" customWidth="1"/>
  </cols>
  <sheetData>
    <row r="1" spans="1:16" s="18" customFormat="1" ht="15.75" thickBot="1">
      <c r="A1" s="7" t="s">
        <v>34</v>
      </c>
      <c r="B1" s="21" t="s">
        <v>200</v>
      </c>
      <c r="C1" s="8" t="s">
        <v>85</v>
      </c>
      <c r="D1" s="14" t="s">
        <v>207</v>
      </c>
      <c r="E1" s="8" t="s">
        <v>1953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42</v>
      </c>
      <c r="K1" s="9" t="s">
        <v>41</v>
      </c>
    </row>
    <row r="2" spans="1:16" ht="15.75" thickBot="1">
      <c r="A2" t="s">
        <v>549</v>
      </c>
      <c r="B2" s="4" t="s">
        <v>556</v>
      </c>
      <c r="C2" s="3">
        <v>300</v>
      </c>
      <c r="D2" s="4" t="s">
        <v>291</v>
      </c>
      <c r="E2" s="3" t="s">
        <v>444</v>
      </c>
      <c r="G2" s="3" t="s">
        <v>508</v>
      </c>
    </row>
    <row r="3" spans="1:16">
      <c r="A3" s="30" t="s">
        <v>2305</v>
      </c>
      <c r="B3" s="28" t="s">
        <v>2300</v>
      </c>
      <c r="C3" s="27" t="s">
        <v>2240</v>
      </c>
      <c r="D3" s="28" t="s">
        <v>560</v>
      </c>
      <c r="E3" s="27" t="s">
        <v>459</v>
      </c>
      <c r="F3" s="27"/>
      <c r="G3" s="27" t="s">
        <v>406</v>
      </c>
      <c r="H3" s="27"/>
      <c r="I3" s="27"/>
      <c r="J3" s="27"/>
      <c r="K3" s="30"/>
      <c r="M3" s="35"/>
      <c r="N3" s="22" t="s">
        <v>72</v>
      </c>
    </row>
    <row r="4" spans="1:16">
      <c r="A4" t="s">
        <v>550</v>
      </c>
      <c r="B4" s="4" t="s">
        <v>557</v>
      </c>
      <c r="C4" s="3">
        <v>300</v>
      </c>
      <c r="D4" s="4" t="s">
        <v>291</v>
      </c>
      <c r="E4" s="3" t="s">
        <v>448</v>
      </c>
      <c r="G4" s="3" t="s">
        <v>506</v>
      </c>
      <c r="M4" s="43"/>
      <c r="N4" s="44" t="s">
        <v>73</v>
      </c>
    </row>
    <row r="5" spans="1:16" ht="15.75" thickBot="1">
      <c r="A5" s="30" t="s">
        <v>550</v>
      </c>
      <c r="B5" s="28" t="s">
        <v>2301</v>
      </c>
      <c r="C5" s="27" t="s">
        <v>2241</v>
      </c>
      <c r="D5" s="28" t="s">
        <v>560</v>
      </c>
      <c r="E5" s="27" t="s">
        <v>439</v>
      </c>
      <c r="F5" s="27"/>
      <c r="G5" s="27" t="s">
        <v>408</v>
      </c>
      <c r="H5" s="27"/>
      <c r="I5" s="27"/>
      <c r="J5" s="27"/>
      <c r="K5" s="30"/>
      <c r="M5" s="51"/>
      <c r="N5" s="45" t="s">
        <v>929</v>
      </c>
    </row>
    <row r="6" spans="1:16">
      <c r="A6" t="s">
        <v>551</v>
      </c>
      <c r="B6" s="4" t="s">
        <v>558</v>
      </c>
      <c r="C6" s="3">
        <v>300</v>
      </c>
      <c r="D6" s="4" t="s">
        <v>560</v>
      </c>
      <c r="E6" s="3" t="s">
        <v>464</v>
      </c>
      <c r="G6" s="3" t="s">
        <v>554</v>
      </c>
    </row>
    <row r="7" spans="1:16">
      <c r="A7" s="30" t="s">
        <v>551</v>
      </c>
      <c r="B7" s="28" t="s">
        <v>2302</v>
      </c>
      <c r="C7" s="27" t="s">
        <v>2242</v>
      </c>
      <c r="D7" s="28" t="s">
        <v>560</v>
      </c>
      <c r="E7" s="27" t="s">
        <v>462</v>
      </c>
      <c r="F7" s="27"/>
      <c r="G7" s="27" t="s">
        <v>563</v>
      </c>
      <c r="H7" s="27"/>
      <c r="I7" s="27"/>
      <c r="J7" s="27"/>
      <c r="K7" s="30"/>
    </row>
    <row r="8" spans="1:16">
      <c r="A8" t="s">
        <v>552</v>
      </c>
      <c r="B8" s="4" t="s">
        <v>559</v>
      </c>
      <c r="C8" s="3">
        <v>300</v>
      </c>
      <c r="D8" s="4" t="s">
        <v>560</v>
      </c>
      <c r="E8" s="3" t="s">
        <v>553</v>
      </c>
      <c r="G8" s="3" t="s">
        <v>555</v>
      </c>
    </row>
    <row r="9" spans="1:16">
      <c r="A9" s="30" t="s">
        <v>2295</v>
      </c>
      <c r="B9" s="28" t="s">
        <v>2303</v>
      </c>
      <c r="C9" s="27" t="s">
        <v>2243</v>
      </c>
      <c r="D9" s="28" t="s">
        <v>560</v>
      </c>
      <c r="E9" s="27" t="s">
        <v>463</v>
      </c>
      <c r="F9" s="27"/>
      <c r="G9" s="27" t="s">
        <v>564</v>
      </c>
      <c r="H9" s="27"/>
      <c r="I9" s="27"/>
      <c r="J9" s="27"/>
      <c r="K9" s="30"/>
    </row>
    <row r="10" spans="1:16">
      <c r="A10" t="s">
        <v>759</v>
      </c>
      <c r="B10" s="4" t="s">
        <v>764</v>
      </c>
      <c r="C10" s="3">
        <v>300</v>
      </c>
      <c r="D10" s="4" t="s">
        <v>246</v>
      </c>
      <c r="E10" s="3">
        <v>10</v>
      </c>
      <c r="K10" s="46" t="s">
        <v>1533</v>
      </c>
    </row>
    <row r="11" spans="1:16">
      <c r="A11" s="30" t="s">
        <v>758</v>
      </c>
      <c r="B11" s="28" t="s">
        <v>1561</v>
      </c>
      <c r="C11" s="27">
        <v>200</v>
      </c>
      <c r="D11" s="28" t="s">
        <v>212</v>
      </c>
      <c r="E11" s="27">
        <v>20</v>
      </c>
      <c r="F11" s="27"/>
      <c r="G11" s="27"/>
      <c r="H11" s="27"/>
      <c r="I11" s="27"/>
      <c r="J11" s="27"/>
      <c r="K11" s="30" t="s">
        <v>1560</v>
      </c>
      <c r="L11" s="19"/>
      <c r="M11" s="19"/>
      <c r="N11" s="19"/>
      <c r="O11" s="19"/>
      <c r="P11" s="19"/>
    </row>
    <row r="12" spans="1:16">
      <c r="A12" t="s">
        <v>757</v>
      </c>
      <c r="B12" s="4" t="s">
        <v>763</v>
      </c>
      <c r="C12" s="3">
        <v>300</v>
      </c>
      <c r="D12" s="4" t="s">
        <v>246</v>
      </c>
      <c r="E12" s="3">
        <v>30</v>
      </c>
      <c r="K12" t="s">
        <v>948</v>
      </c>
    </row>
    <row r="13" spans="1:16">
      <c r="A13" s="30" t="s">
        <v>757</v>
      </c>
      <c r="B13" s="28" t="s">
        <v>513</v>
      </c>
      <c r="C13" s="27" t="s">
        <v>2244</v>
      </c>
      <c r="D13" s="28" t="s">
        <v>212</v>
      </c>
      <c r="E13" s="27" t="s">
        <v>456</v>
      </c>
      <c r="F13" s="27"/>
      <c r="G13" s="27"/>
      <c r="H13" s="27"/>
      <c r="I13" s="27"/>
      <c r="J13" s="27"/>
      <c r="K13" s="30" t="s">
        <v>2532</v>
      </c>
    </row>
    <row r="14" spans="1:16" s="1" customFormat="1">
      <c r="A14" s="1" t="s">
        <v>1546</v>
      </c>
      <c r="B14" s="4" t="s">
        <v>512</v>
      </c>
      <c r="C14" s="3">
        <v>300</v>
      </c>
      <c r="D14" s="4" t="s">
        <v>246</v>
      </c>
      <c r="E14" s="3" t="s">
        <v>1547</v>
      </c>
      <c r="F14" s="3">
        <v>10</v>
      </c>
      <c r="G14" s="3"/>
      <c r="H14" s="3"/>
      <c r="I14" s="3"/>
      <c r="J14" s="3"/>
      <c r="K14" s="1" t="s">
        <v>1696</v>
      </c>
    </row>
    <row r="15" spans="1:16" s="1" customFormat="1">
      <c r="A15" s="26" t="s">
        <v>1546</v>
      </c>
      <c r="B15" s="28" t="s">
        <v>512</v>
      </c>
      <c r="C15" s="27">
        <v>300</v>
      </c>
      <c r="D15" s="28" t="s">
        <v>211</v>
      </c>
      <c r="E15" s="27" t="s">
        <v>1547</v>
      </c>
      <c r="F15" s="27"/>
      <c r="G15" s="27"/>
      <c r="H15" s="27"/>
      <c r="I15" s="27"/>
      <c r="J15" s="27"/>
      <c r="K15" s="26" t="s">
        <v>1697</v>
      </c>
    </row>
    <row r="16" spans="1:16" s="1" customFormat="1">
      <c r="A16" s="1" t="s">
        <v>197</v>
      </c>
      <c r="B16" s="4" t="s">
        <v>201</v>
      </c>
      <c r="C16" s="3">
        <v>200</v>
      </c>
      <c r="D16" s="4" t="s">
        <v>246</v>
      </c>
      <c r="E16" s="3">
        <v>10</v>
      </c>
      <c r="F16" s="3"/>
      <c r="G16" s="3"/>
      <c r="H16" s="3"/>
      <c r="I16" s="3"/>
      <c r="J16" s="3"/>
    </row>
    <row r="17" spans="1:17" s="10" customFormat="1">
      <c r="A17" s="26" t="s">
        <v>197</v>
      </c>
      <c r="B17" s="28" t="s">
        <v>568</v>
      </c>
      <c r="C17" s="27">
        <v>100</v>
      </c>
      <c r="D17" s="28" t="s">
        <v>246</v>
      </c>
      <c r="E17" s="27">
        <v>10</v>
      </c>
      <c r="F17" s="27"/>
      <c r="G17" s="27"/>
      <c r="H17" s="27"/>
      <c r="I17" s="27"/>
      <c r="J17" s="27"/>
      <c r="K17" s="26"/>
    </row>
    <row r="18" spans="1:17" s="1" customFormat="1">
      <c r="A18" s="1" t="s">
        <v>196</v>
      </c>
      <c r="B18" s="4" t="s">
        <v>567</v>
      </c>
      <c r="C18" s="3">
        <v>300</v>
      </c>
      <c r="D18" s="4" t="s">
        <v>246</v>
      </c>
      <c r="E18" s="3">
        <v>15</v>
      </c>
      <c r="F18" s="3"/>
      <c r="G18" s="3"/>
      <c r="H18" s="3"/>
      <c r="I18" s="3"/>
      <c r="J18" s="3"/>
    </row>
    <row r="19" spans="1:17" s="1" customFormat="1">
      <c r="A19" s="26" t="s">
        <v>196</v>
      </c>
      <c r="B19" s="28" t="s">
        <v>567</v>
      </c>
      <c r="C19" s="27">
        <v>150</v>
      </c>
      <c r="D19" s="28" t="s">
        <v>560</v>
      </c>
      <c r="E19" s="27">
        <v>15</v>
      </c>
      <c r="F19" s="27"/>
      <c r="G19" s="27"/>
      <c r="H19" s="27"/>
      <c r="I19" s="27"/>
      <c r="J19" s="27"/>
      <c r="K19" s="26"/>
    </row>
    <row r="20" spans="1:17" s="1" customFormat="1">
      <c r="A20" s="40" t="s">
        <v>198</v>
      </c>
      <c r="B20" s="39" t="s">
        <v>380</v>
      </c>
      <c r="C20" s="42">
        <v>150</v>
      </c>
      <c r="D20" s="39" t="s">
        <v>660</v>
      </c>
      <c r="E20" s="42">
        <v>15</v>
      </c>
      <c r="F20" s="42">
        <v>20</v>
      </c>
      <c r="G20" s="42"/>
      <c r="H20" s="42"/>
      <c r="I20" s="42"/>
      <c r="J20" s="42"/>
      <c r="K20" s="40" t="s">
        <v>2172</v>
      </c>
      <c r="L20" s="10"/>
      <c r="M20" s="10"/>
      <c r="N20" s="10"/>
      <c r="O20" s="10"/>
      <c r="P20" s="10"/>
    </row>
    <row r="21" spans="1:17" s="1" customFormat="1">
      <c r="A21" s="1" t="s">
        <v>135</v>
      </c>
      <c r="B21" s="4" t="s">
        <v>565</v>
      </c>
      <c r="C21" s="3">
        <v>200</v>
      </c>
      <c r="D21" s="4" t="s">
        <v>212</v>
      </c>
      <c r="E21" s="3">
        <v>18</v>
      </c>
      <c r="F21" s="3"/>
      <c r="G21" s="3"/>
      <c r="H21" s="3"/>
      <c r="I21" s="3"/>
      <c r="J21" s="3"/>
    </row>
    <row r="22" spans="1:17" s="1" customFormat="1">
      <c r="A22" s="26" t="s">
        <v>135</v>
      </c>
      <c r="B22" s="28" t="s">
        <v>565</v>
      </c>
      <c r="C22" s="27">
        <v>200</v>
      </c>
      <c r="D22" s="28" t="s">
        <v>212</v>
      </c>
      <c r="E22" s="27">
        <v>20</v>
      </c>
      <c r="F22" s="27"/>
      <c r="G22" s="27"/>
      <c r="H22" s="27"/>
      <c r="I22" s="27"/>
      <c r="J22" s="27"/>
      <c r="K22" s="26"/>
    </row>
    <row r="23" spans="1:17" s="1" customFormat="1">
      <c r="A23" s="1" t="s">
        <v>136</v>
      </c>
      <c r="B23" s="4" t="s">
        <v>282</v>
      </c>
      <c r="C23" s="3">
        <v>300</v>
      </c>
      <c r="D23" s="4" t="s">
        <v>291</v>
      </c>
      <c r="E23" s="3">
        <v>20</v>
      </c>
      <c r="F23" s="3"/>
      <c r="G23" s="3"/>
      <c r="H23" s="3"/>
      <c r="I23" s="3"/>
      <c r="J23" s="3"/>
    </row>
    <row r="24" spans="1:17" s="1" customFormat="1">
      <c r="A24" s="26" t="s">
        <v>137</v>
      </c>
      <c r="B24" s="28" t="s">
        <v>282</v>
      </c>
      <c r="C24" s="27">
        <v>250</v>
      </c>
      <c r="D24" s="28" t="s">
        <v>212</v>
      </c>
      <c r="E24" s="27">
        <v>25</v>
      </c>
      <c r="F24" s="27"/>
      <c r="G24" s="27"/>
      <c r="H24" s="27"/>
      <c r="I24" s="27"/>
      <c r="J24" s="27"/>
      <c r="K24" s="26"/>
    </row>
    <row r="25" spans="1:17" s="1" customFormat="1">
      <c r="A25" s="40" t="s">
        <v>267</v>
      </c>
      <c r="B25" s="39" t="s">
        <v>1964</v>
      </c>
      <c r="C25" s="42">
        <v>250</v>
      </c>
      <c r="D25" s="39" t="s">
        <v>211</v>
      </c>
      <c r="E25" s="42">
        <v>25</v>
      </c>
      <c r="F25" s="42"/>
      <c r="G25" s="42">
        <v>20</v>
      </c>
      <c r="H25" s="42"/>
      <c r="I25" s="42"/>
      <c r="J25" s="42"/>
      <c r="K25" s="40"/>
      <c r="L25" s="10"/>
      <c r="M25" s="10"/>
      <c r="N25" s="10"/>
      <c r="O25" s="10"/>
      <c r="P25" s="10"/>
      <c r="Q25" s="10"/>
    </row>
    <row r="26" spans="1:17" s="1" customFormat="1">
      <c r="A26" s="1" t="s">
        <v>195</v>
      </c>
      <c r="B26" s="4" t="s">
        <v>569</v>
      </c>
      <c r="C26" s="3">
        <v>20</v>
      </c>
      <c r="D26" s="4" t="s">
        <v>291</v>
      </c>
      <c r="E26" s="3">
        <v>30</v>
      </c>
      <c r="F26" s="3"/>
      <c r="G26" s="3"/>
      <c r="H26" s="3"/>
      <c r="I26" s="3"/>
      <c r="J26" s="3" t="s">
        <v>1507</v>
      </c>
      <c r="L26" s="10"/>
      <c r="M26" s="10"/>
      <c r="N26" s="10"/>
      <c r="O26" s="10"/>
      <c r="P26" s="10"/>
      <c r="Q26" s="10"/>
    </row>
    <row r="27" spans="1:17" s="1" customFormat="1">
      <c r="A27" s="26" t="s">
        <v>195</v>
      </c>
      <c r="B27" s="28" t="s">
        <v>566</v>
      </c>
      <c r="C27" s="27">
        <v>250</v>
      </c>
      <c r="D27" s="28" t="s">
        <v>562</v>
      </c>
      <c r="E27" s="27">
        <v>25</v>
      </c>
      <c r="F27" s="27"/>
      <c r="G27" s="27"/>
      <c r="H27" s="27"/>
      <c r="I27" s="27"/>
      <c r="J27" s="27" t="s">
        <v>1543</v>
      </c>
      <c r="K27" s="48" t="s">
        <v>1950</v>
      </c>
      <c r="L27" s="10"/>
      <c r="M27" s="10"/>
      <c r="N27" s="10"/>
      <c r="O27" s="10"/>
      <c r="P27" s="10"/>
      <c r="Q27" s="10"/>
    </row>
    <row r="28" spans="1:17" s="1" customFormat="1">
      <c r="A28" s="1" t="s">
        <v>561</v>
      </c>
      <c r="B28" s="4" t="s">
        <v>528</v>
      </c>
      <c r="C28" s="3">
        <v>300</v>
      </c>
      <c r="D28" s="4" t="s">
        <v>246</v>
      </c>
      <c r="E28" s="3">
        <v>30</v>
      </c>
      <c r="F28" s="3"/>
      <c r="G28" s="3"/>
      <c r="H28" s="3"/>
      <c r="I28" s="3"/>
      <c r="J28" s="3"/>
    </row>
    <row r="29" spans="1:17" s="1" customFormat="1">
      <c r="A29" s="26" t="s">
        <v>561</v>
      </c>
      <c r="B29" s="28" t="s">
        <v>528</v>
      </c>
      <c r="C29" s="27">
        <v>300</v>
      </c>
      <c r="D29" s="28" t="s">
        <v>211</v>
      </c>
      <c r="E29" s="27">
        <v>30</v>
      </c>
      <c r="F29" s="27"/>
      <c r="G29" s="27"/>
      <c r="H29" s="27"/>
      <c r="I29" s="27"/>
      <c r="J29" s="27"/>
      <c r="K29" s="26"/>
    </row>
    <row r="30" spans="1:17" s="1" customFormat="1">
      <c r="A30" s="1" t="s">
        <v>1962</v>
      </c>
      <c r="B30" s="4" t="s">
        <v>846</v>
      </c>
      <c r="C30" s="3">
        <v>300</v>
      </c>
      <c r="D30" s="4" t="s">
        <v>330</v>
      </c>
      <c r="E30" s="3">
        <v>30</v>
      </c>
      <c r="F30" s="3">
        <v>10</v>
      </c>
      <c r="G30" s="3"/>
      <c r="H30" s="3"/>
      <c r="I30" s="3"/>
      <c r="J30" s="3"/>
    </row>
    <row r="31" spans="1:17" s="1" customFormat="1">
      <c r="A31" s="26" t="s">
        <v>2391</v>
      </c>
      <c r="B31" s="28" t="s">
        <v>846</v>
      </c>
      <c r="C31" s="27">
        <v>300</v>
      </c>
      <c r="D31" s="28" t="s">
        <v>211</v>
      </c>
      <c r="E31" s="27">
        <v>30</v>
      </c>
      <c r="F31" s="27">
        <v>10</v>
      </c>
      <c r="G31" s="27"/>
      <c r="H31" s="27"/>
      <c r="I31" s="27"/>
      <c r="J31" s="27"/>
      <c r="K31" s="26"/>
    </row>
    <row r="32" spans="1:17" s="1" customFormat="1">
      <c r="A32" s="40" t="s">
        <v>126</v>
      </c>
      <c r="B32" s="39" t="s">
        <v>1961</v>
      </c>
      <c r="C32" s="42">
        <v>300</v>
      </c>
      <c r="D32" s="39" t="s">
        <v>210</v>
      </c>
      <c r="E32" s="42">
        <v>30</v>
      </c>
      <c r="F32" s="42"/>
      <c r="G32" s="42"/>
      <c r="H32" s="42"/>
      <c r="I32" s="42"/>
      <c r="J32" s="42"/>
      <c r="K32" s="40" t="s">
        <v>2525</v>
      </c>
      <c r="L32" s="10"/>
      <c r="M32" s="10"/>
      <c r="N32" s="10"/>
      <c r="O32" s="10"/>
      <c r="P32" s="10"/>
      <c r="Q32" s="10"/>
    </row>
    <row r="33" spans="1:17">
      <c r="A33" t="s">
        <v>2031</v>
      </c>
      <c r="B33" s="4" t="s">
        <v>246</v>
      </c>
      <c r="C33" s="3">
        <v>50</v>
      </c>
      <c r="D33" s="4" t="s">
        <v>248</v>
      </c>
      <c r="K33" t="s">
        <v>1362</v>
      </c>
    </row>
    <row r="34" spans="1:17">
      <c r="A34" s="30" t="s">
        <v>2032</v>
      </c>
      <c r="B34" s="28" t="s">
        <v>250</v>
      </c>
      <c r="C34" s="27">
        <v>40</v>
      </c>
      <c r="D34" s="28" t="s">
        <v>247</v>
      </c>
      <c r="E34" s="27"/>
      <c r="F34" s="27"/>
      <c r="G34" s="27"/>
      <c r="H34" s="27"/>
      <c r="I34" s="27"/>
      <c r="J34" s="27"/>
      <c r="K34" s="30" t="s">
        <v>2036</v>
      </c>
    </row>
    <row r="35" spans="1:17">
      <c r="A35" t="s">
        <v>2033</v>
      </c>
      <c r="B35" s="4" t="s">
        <v>212</v>
      </c>
      <c r="C35" s="3">
        <v>50</v>
      </c>
      <c r="D35" s="4" t="s">
        <v>248</v>
      </c>
      <c r="K35" t="s">
        <v>1362</v>
      </c>
    </row>
    <row r="36" spans="1:17">
      <c r="A36" s="30" t="s">
        <v>2033</v>
      </c>
      <c r="B36" s="28" t="s">
        <v>291</v>
      </c>
      <c r="C36" s="27">
        <v>40</v>
      </c>
      <c r="D36" s="28" t="s">
        <v>247</v>
      </c>
      <c r="E36" s="27"/>
      <c r="F36" s="27"/>
      <c r="G36" s="27"/>
      <c r="H36" s="27"/>
      <c r="I36" s="27"/>
      <c r="J36" s="27"/>
      <c r="K36" s="30" t="s">
        <v>2037</v>
      </c>
    </row>
    <row r="37" spans="1:17">
      <c r="A37" t="s">
        <v>1531</v>
      </c>
      <c r="B37" s="4" t="s">
        <v>1532</v>
      </c>
      <c r="C37" s="3">
        <v>10</v>
      </c>
      <c r="D37" s="4" t="s">
        <v>153</v>
      </c>
      <c r="E37" s="3">
        <v>10</v>
      </c>
    </row>
    <row r="38" spans="1:17">
      <c r="A38" s="30" t="s">
        <v>1531</v>
      </c>
      <c r="B38" s="28" t="s">
        <v>565</v>
      </c>
      <c r="C38" s="27">
        <v>10</v>
      </c>
      <c r="D38" s="28" t="s">
        <v>153</v>
      </c>
      <c r="E38" s="27"/>
      <c r="F38" s="27"/>
      <c r="G38" s="27"/>
      <c r="H38" s="27"/>
      <c r="I38" s="27"/>
      <c r="J38" s="27"/>
      <c r="K38" s="30" t="s">
        <v>2390</v>
      </c>
    </row>
    <row r="39" spans="1:17" s="1" customFormat="1">
      <c r="A39" s="40" t="s">
        <v>2392</v>
      </c>
      <c r="B39" s="39" t="s">
        <v>566</v>
      </c>
      <c r="C39" s="42">
        <v>300</v>
      </c>
      <c r="D39" s="39" t="s">
        <v>562</v>
      </c>
      <c r="E39" s="42">
        <v>30</v>
      </c>
      <c r="F39" s="42"/>
      <c r="G39" s="42"/>
      <c r="H39" s="42"/>
      <c r="I39" s="42"/>
      <c r="J39" s="42"/>
      <c r="K39" s="37" t="s">
        <v>2390</v>
      </c>
      <c r="L39" s="10"/>
      <c r="M39" s="10"/>
      <c r="N39" s="10"/>
      <c r="O39" s="10"/>
      <c r="P39" s="10"/>
      <c r="Q39" s="10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7"/>
  <sheetViews>
    <sheetView workbookViewId="0">
      <pane ySplit="1" topLeftCell="A2" activePane="bottomLeft" state="frozen"/>
      <selection pane="bottomLeft" activeCell="M3" sqref="M3:N5"/>
    </sheetView>
  </sheetViews>
  <sheetFormatPr defaultRowHeight="15"/>
  <cols>
    <col min="1" max="1" width="30" customWidth="1"/>
    <col min="2" max="2" width="12.140625" style="4" customWidth="1"/>
    <col min="3" max="3" width="11.42578125" style="3" customWidth="1"/>
    <col min="4" max="10" width="7.85546875" style="3" customWidth="1"/>
    <col min="11" max="11" width="41.42578125" customWidth="1"/>
    <col min="12" max="12" width="9.140625" customWidth="1"/>
    <col min="14" max="14" width="15.7109375" customWidth="1"/>
    <col min="15" max="15" width="9.140625" customWidth="1"/>
  </cols>
  <sheetData>
    <row r="1" spans="1:16" s="18" customFormat="1" ht="15.75" thickBot="1">
      <c r="A1" s="7" t="s">
        <v>34</v>
      </c>
      <c r="B1" s="21" t="s">
        <v>200</v>
      </c>
      <c r="C1" s="8" t="s">
        <v>85</v>
      </c>
      <c r="D1" s="8" t="s">
        <v>207</v>
      </c>
      <c r="E1" s="8" t="s">
        <v>1953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42</v>
      </c>
      <c r="K1" s="9" t="s">
        <v>41</v>
      </c>
    </row>
    <row r="2" spans="1:16" s="1" customFormat="1" ht="15.75" thickBot="1">
      <c r="A2" s="1" t="s">
        <v>138</v>
      </c>
      <c r="B2" s="4" t="s">
        <v>572</v>
      </c>
      <c r="C2" s="3">
        <v>30</v>
      </c>
      <c r="D2" s="3">
        <v>20</v>
      </c>
      <c r="E2" s="3"/>
      <c r="F2" s="3"/>
      <c r="G2" s="3"/>
      <c r="H2" s="3"/>
      <c r="I2" s="3"/>
      <c r="J2" s="3"/>
      <c r="K2" s="1" t="s">
        <v>139</v>
      </c>
    </row>
    <row r="3" spans="1:16" s="1" customFormat="1">
      <c r="A3" s="26" t="s">
        <v>138</v>
      </c>
      <c r="B3" s="28" t="s">
        <v>204</v>
      </c>
      <c r="C3" s="27">
        <v>30</v>
      </c>
      <c r="D3" s="27">
        <v>10</v>
      </c>
      <c r="E3" s="27"/>
      <c r="F3" s="27"/>
      <c r="G3" s="27"/>
      <c r="H3" s="27"/>
      <c r="I3" s="27"/>
      <c r="J3" s="27"/>
      <c r="K3" s="26" t="s">
        <v>129</v>
      </c>
      <c r="M3" s="35"/>
      <c r="N3" s="22" t="s">
        <v>72</v>
      </c>
    </row>
    <row r="4" spans="1:16" s="1" customFormat="1">
      <c r="A4" s="1" t="s">
        <v>2504</v>
      </c>
      <c r="B4" s="4" t="s">
        <v>153</v>
      </c>
      <c r="C4" s="3">
        <v>5</v>
      </c>
      <c r="D4" s="3">
        <v>5</v>
      </c>
      <c r="E4" s="3"/>
      <c r="F4" s="3"/>
      <c r="G4" s="3"/>
      <c r="H4" s="3"/>
      <c r="I4" s="3"/>
      <c r="J4" s="3"/>
      <c r="K4" s="1" t="s">
        <v>2506</v>
      </c>
      <c r="M4" s="43"/>
      <c r="N4" s="44" t="s">
        <v>73</v>
      </c>
    </row>
    <row r="5" spans="1:16" s="1" customFormat="1" ht="15.75" thickBot="1">
      <c r="A5" s="26" t="s">
        <v>2504</v>
      </c>
      <c r="B5" s="28" t="s">
        <v>846</v>
      </c>
      <c r="C5" s="27">
        <v>5</v>
      </c>
      <c r="D5" s="27">
        <v>5</v>
      </c>
      <c r="E5" s="27"/>
      <c r="F5" s="27"/>
      <c r="G5" s="27"/>
      <c r="H5" s="27"/>
      <c r="I5" s="27"/>
      <c r="J5" s="27"/>
      <c r="K5" s="26" t="s">
        <v>2505</v>
      </c>
      <c r="M5" s="51"/>
      <c r="N5" s="45" t="s">
        <v>929</v>
      </c>
    </row>
    <row r="6" spans="1:16" s="1" customFormat="1">
      <c r="A6" s="1" t="s">
        <v>1458</v>
      </c>
      <c r="B6" s="4" t="s">
        <v>332</v>
      </c>
      <c r="C6" s="3">
        <v>10</v>
      </c>
      <c r="D6" s="3">
        <v>10</v>
      </c>
      <c r="E6" s="3"/>
      <c r="F6" s="3"/>
      <c r="G6" s="3"/>
      <c r="H6" s="3"/>
      <c r="I6" s="3"/>
      <c r="J6" s="3"/>
    </row>
    <row r="7" spans="1:16" s="1" customFormat="1">
      <c r="A7" s="26" t="s">
        <v>1458</v>
      </c>
      <c r="B7" s="28" t="s">
        <v>359</v>
      </c>
      <c r="C7" s="27">
        <v>20</v>
      </c>
      <c r="D7" s="27">
        <v>10</v>
      </c>
      <c r="E7" s="27"/>
      <c r="F7" s="27"/>
      <c r="G7" s="27"/>
      <c r="H7" s="27"/>
      <c r="I7" s="27"/>
      <c r="J7" s="27"/>
      <c r="K7" s="26" t="s">
        <v>1275</v>
      </c>
    </row>
    <row r="8" spans="1:16" s="1" customFormat="1">
      <c r="A8" s="1" t="s">
        <v>39</v>
      </c>
      <c r="B8" s="4" t="s">
        <v>566</v>
      </c>
      <c r="C8" s="3">
        <v>30</v>
      </c>
      <c r="D8" s="3">
        <v>30</v>
      </c>
      <c r="E8" s="3"/>
      <c r="F8" s="3">
        <v>20</v>
      </c>
      <c r="G8" s="3"/>
      <c r="H8" s="3"/>
      <c r="I8" s="3"/>
      <c r="J8" s="3"/>
      <c r="K8" s="55" t="s">
        <v>1363</v>
      </c>
    </row>
    <row r="9" spans="1:16" s="1" customFormat="1">
      <c r="A9" s="26" t="s">
        <v>39</v>
      </c>
      <c r="B9" s="28" t="s">
        <v>1493</v>
      </c>
      <c r="C9" s="27">
        <v>30</v>
      </c>
      <c r="D9" s="27">
        <v>20</v>
      </c>
      <c r="E9" s="27"/>
      <c r="F9" s="27">
        <v>20</v>
      </c>
      <c r="G9" s="27"/>
      <c r="H9" s="27"/>
      <c r="I9" s="27"/>
      <c r="J9" s="27"/>
      <c r="K9" s="26" t="s">
        <v>2172</v>
      </c>
    </row>
    <row r="10" spans="1:16" s="1" customFormat="1">
      <c r="A10" s="1" t="s">
        <v>128</v>
      </c>
      <c r="B10" s="4" t="s">
        <v>562</v>
      </c>
      <c r="C10" s="3">
        <v>100</v>
      </c>
      <c r="D10" s="3">
        <v>50</v>
      </c>
      <c r="E10" s="3">
        <v>2</v>
      </c>
      <c r="F10" s="3">
        <v>5</v>
      </c>
      <c r="G10" s="3"/>
      <c r="H10" s="3"/>
      <c r="I10" s="3"/>
      <c r="J10" s="3"/>
      <c r="K10" s="1" t="s">
        <v>130</v>
      </c>
    </row>
    <row r="11" spans="1:16" s="1" customFormat="1">
      <c r="A11" s="26" t="s">
        <v>128</v>
      </c>
      <c r="B11" s="28" t="s">
        <v>657</v>
      </c>
      <c r="C11" s="27">
        <v>100</v>
      </c>
      <c r="D11" s="27">
        <v>50</v>
      </c>
      <c r="E11" s="27">
        <v>2</v>
      </c>
      <c r="F11" s="27">
        <v>5</v>
      </c>
      <c r="G11" s="27">
        <v>2</v>
      </c>
      <c r="H11" s="27"/>
      <c r="I11" s="27"/>
      <c r="J11" s="27"/>
      <c r="K11" s="26" t="s">
        <v>130</v>
      </c>
    </row>
    <row r="12" spans="1:16" s="1" customFormat="1">
      <c r="A12" s="1" t="s">
        <v>131</v>
      </c>
      <c r="B12" s="4" t="s">
        <v>201</v>
      </c>
      <c r="C12" s="3">
        <v>100</v>
      </c>
      <c r="D12" s="3">
        <v>50</v>
      </c>
      <c r="E12" s="3">
        <v>6</v>
      </c>
      <c r="F12" s="3">
        <v>9</v>
      </c>
      <c r="G12" s="3"/>
      <c r="H12" s="3"/>
      <c r="I12" s="3"/>
      <c r="J12" s="3"/>
      <c r="K12" s="1" t="s">
        <v>130</v>
      </c>
    </row>
    <row r="13" spans="1:16" s="1" customFormat="1">
      <c r="A13" s="26" t="s">
        <v>131</v>
      </c>
      <c r="B13" s="28" t="s">
        <v>956</v>
      </c>
      <c r="C13" s="27">
        <v>120</v>
      </c>
      <c r="D13" s="27">
        <v>50</v>
      </c>
      <c r="E13" s="27">
        <v>4</v>
      </c>
      <c r="F13" s="27">
        <v>7</v>
      </c>
      <c r="G13" s="27">
        <v>3</v>
      </c>
      <c r="H13" s="27"/>
      <c r="I13" s="27"/>
      <c r="J13" s="27"/>
      <c r="K13" s="26" t="s">
        <v>130</v>
      </c>
    </row>
    <row r="14" spans="1:16" s="1" customFormat="1">
      <c r="A14" s="1" t="s">
        <v>132</v>
      </c>
      <c r="B14" s="4" t="s">
        <v>576</v>
      </c>
      <c r="C14" s="3">
        <v>200</v>
      </c>
      <c r="D14" s="3">
        <v>50</v>
      </c>
      <c r="E14" s="3">
        <v>3</v>
      </c>
      <c r="F14" s="3">
        <v>7</v>
      </c>
      <c r="G14" s="3"/>
      <c r="H14" s="3"/>
      <c r="I14" s="3"/>
      <c r="J14" s="3"/>
      <c r="K14" s="1" t="s">
        <v>130</v>
      </c>
    </row>
    <row r="15" spans="1:16" s="1" customFormat="1">
      <c r="A15" s="26" t="s">
        <v>132</v>
      </c>
      <c r="B15" s="28" t="s">
        <v>578</v>
      </c>
      <c r="C15" s="27">
        <v>140</v>
      </c>
      <c r="D15" s="27">
        <v>60</v>
      </c>
      <c r="E15" s="27">
        <v>6</v>
      </c>
      <c r="F15" s="27">
        <v>9</v>
      </c>
      <c r="G15" s="27">
        <v>6</v>
      </c>
      <c r="H15" s="27"/>
      <c r="I15" s="27"/>
      <c r="J15" s="27"/>
      <c r="K15" s="26" t="s">
        <v>130</v>
      </c>
      <c r="L15" s="10"/>
      <c r="M15" s="10"/>
      <c r="N15" s="10"/>
      <c r="O15" s="10"/>
      <c r="P15" s="10"/>
    </row>
    <row r="16" spans="1:16" s="1" customFormat="1">
      <c r="A16" s="1" t="s">
        <v>133</v>
      </c>
      <c r="B16" s="4" t="s">
        <v>571</v>
      </c>
      <c r="C16" s="3">
        <v>120</v>
      </c>
      <c r="D16" s="3">
        <v>70</v>
      </c>
      <c r="E16" s="3">
        <v>10</v>
      </c>
      <c r="F16" s="3">
        <v>12</v>
      </c>
      <c r="G16" s="3"/>
      <c r="H16" s="3"/>
      <c r="I16" s="3"/>
      <c r="J16" s="3"/>
      <c r="K16" s="1" t="s">
        <v>130</v>
      </c>
    </row>
    <row r="17" spans="1:16" s="1" customFormat="1">
      <c r="A17" s="26" t="s">
        <v>171</v>
      </c>
      <c r="B17" s="28" t="s">
        <v>222</v>
      </c>
      <c r="C17" s="27">
        <v>175</v>
      </c>
      <c r="D17" s="27">
        <v>70</v>
      </c>
      <c r="E17" s="27">
        <v>10</v>
      </c>
      <c r="F17" s="27">
        <v>12</v>
      </c>
      <c r="G17" s="27">
        <v>9</v>
      </c>
      <c r="H17" s="27"/>
      <c r="I17" s="27"/>
      <c r="J17" s="27"/>
      <c r="K17" s="26" t="s">
        <v>130</v>
      </c>
    </row>
    <row r="18" spans="1:16" s="1" customFormat="1">
      <c r="A18" s="1" t="s">
        <v>134</v>
      </c>
      <c r="B18" s="4" t="s">
        <v>573</v>
      </c>
      <c r="C18" s="3">
        <v>130</v>
      </c>
      <c r="D18" s="3">
        <v>70</v>
      </c>
      <c r="E18" s="3">
        <v>3</v>
      </c>
      <c r="F18" s="3">
        <v>7</v>
      </c>
      <c r="G18" s="3"/>
      <c r="H18" s="3"/>
      <c r="I18" s="3"/>
      <c r="J18" s="3"/>
      <c r="L18" s="10"/>
      <c r="M18" s="10"/>
      <c r="N18" s="10"/>
      <c r="O18" s="10"/>
    </row>
    <row r="19" spans="1:16" s="1" customFormat="1">
      <c r="A19" s="26" t="s">
        <v>134</v>
      </c>
      <c r="B19" s="28" t="s">
        <v>204</v>
      </c>
      <c r="C19" s="27">
        <v>175</v>
      </c>
      <c r="D19" s="27">
        <v>70</v>
      </c>
      <c r="E19" s="27">
        <v>10</v>
      </c>
      <c r="F19" s="27">
        <v>12</v>
      </c>
      <c r="G19" s="27">
        <v>9</v>
      </c>
      <c r="H19" s="27"/>
      <c r="I19" s="27"/>
      <c r="J19" s="27"/>
      <c r="K19" s="26"/>
      <c r="L19" s="10"/>
      <c r="M19" s="10"/>
      <c r="N19" s="10"/>
      <c r="O19" s="10"/>
      <c r="P19" s="10"/>
    </row>
    <row r="20" spans="1:16" s="1" customFormat="1">
      <c r="A20" s="1" t="s">
        <v>40</v>
      </c>
      <c r="B20" s="4" t="s">
        <v>575</v>
      </c>
      <c r="C20" s="3">
        <v>120</v>
      </c>
      <c r="D20" s="3">
        <v>70</v>
      </c>
      <c r="E20" s="3">
        <v>6</v>
      </c>
      <c r="F20" s="3">
        <v>9</v>
      </c>
      <c r="G20" s="3"/>
      <c r="H20" s="3"/>
      <c r="I20" s="3"/>
      <c r="J20" s="3"/>
      <c r="K20" s="1" t="s">
        <v>129</v>
      </c>
    </row>
    <row r="21" spans="1:16" s="1" customFormat="1">
      <c r="A21" s="26" t="s">
        <v>166</v>
      </c>
      <c r="B21" s="28" t="s">
        <v>223</v>
      </c>
      <c r="C21" s="27">
        <v>175</v>
      </c>
      <c r="D21" s="27">
        <v>70</v>
      </c>
      <c r="E21" s="27">
        <v>10</v>
      </c>
      <c r="F21" s="27">
        <v>12</v>
      </c>
      <c r="G21" s="27">
        <v>9</v>
      </c>
      <c r="H21" s="27"/>
      <c r="I21" s="27"/>
      <c r="J21" s="27"/>
      <c r="K21" s="26" t="s">
        <v>129</v>
      </c>
      <c r="L21" s="10"/>
      <c r="M21" s="10"/>
      <c r="N21" s="10"/>
      <c r="O21" s="10"/>
      <c r="P21" s="10"/>
    </row>
    <row r="22" spans="1:16" s="1" customFormat="1">
      <c r="A22" s="10" t="s">
        <v>170</v>
      </c>
      <c r="B22" s="6" t="s">
        <v>577</v>
      </c>
      <c r="C22" s="11">
        <v>120</v>
      </c>
      <c r="D22" s="11">
        <v>70</v>
      </c>
      <c r="E22" s="11">
        <v>15</v>
      </c>
      <c r="F22" s="11"/>
      <c r="G22" s="11"/>
      <c r="H22" s="11"/>
      <c r="I22" s="11"/>
      <c r="J22" s="11"/>
      <c r="K22" s="10" t="s">
        <v>1362</v>
      </c>
      <c r="L22" s="10"/>
      <c r="M22" s="10"/>
      <c r="N22" s="10"/>
      <c r="O22" s="10"/>
      <c r="P22" s="10"/>
    </row>
    <row r="23" spans="1:16" s="1" customFormat="1">
      <c r="A23" s="26" t="s">
        <v>170</v>
      </c>
      <c r="B23" s="28" t="s">
        <v>353</v>
      </c>
      <c r="C23" s="27">
        <v>175</v>
      </c>
      <c r="D23" s="27">
        <v>70</v>
      </c>
      <c r="E23" s="27">
        <v>15</v>
      </c>
      <c r="F23" s="27">
        <v>5</v>
      </c>
      <c r="G23" s="27">
        <v>5</v>
      </c>
      <c r="H23" s="27"/>
      <c r="I23" s="27"/>
      <c r="J23" s="27"/>
      <c r="K23" s="26" t="s">
        <v>2035</v>
      </c>
      <c r="L23" s="10"/>
      <c r="M23" s="10"/>
      <c r="N23" s="10"/>
      <c r="O23" s="10"/>
      <c r="P23" s="10"/>
    </row>
    <row r="24" spans="1:16" s="1" customFormat="1">
      <c r="A24" s="1" t="s">
        <v>140</v>
      </c>
      <c r="B24" s="4" t="s">
        <v>574</v>
      </c>
      <c r="C24" s="3">
        <v>100</v>
      </c>
      <c r="D24" s="3">
        <v>50</v>
      </c>
      <c r="E24" s="3">
        <v>3</v>
      </c>
      <c r="F24" s="3">
        <v>7</v>
      </c>
      <c r="G24" s="3"/>
      <c r="H24" s="3"/>
      <c r="I24" s="3"/>
      <c r="J24" s="3"/>
      <c r="K24" s="1" t="s">
        <v>2508</v>
      </c>
    </row>
    <row r="25" spans="1:16" s="1" customFormat="1">
      <c r="A25" s="26" t="s">
        <v>140</v>
      </c>
      <c r="B25" s="28" t="s">
        <v>382</v>
      </c>
      <c r="C25" s="27">
        <v>140</v>
      </c>
      <c r="D25" s="27">
        <v>55</v>
      </c>
      <c r="E25" s="27">
        <v>5</v>
      </c>
      <c r="F25" s="27">
        <v>9</v>
      </c>
      <c r="G25" s="27">
        <v>6</v>
      </c>
      <c r="H25" s="27"/>
      <c r="I25" s="27"/>
      <c r="J25" s="27"/>
      <c r="K25" s="26" t="s">
        <v>2167</v>
      </c>
    </row>
    <row r="26" spans="1:16">
      <c r="A26" t="s">
        <v>626</v>
      </c>
      <c r="B26" s="4" t="s">
        <v>574</v>
      </c>
      <c r="C26" s="3">
        <v>100</v>
      </c>
      <c r="D26" s="3">
        <v>20</v>
      </c>
      <c r="E26" s="3">
        <v>6</v>
      </c>
      <c r="F26" s="3">
        <v>9</v>
      </c>
      <c r="K26" t="s">
        <v>2507</v>
      </c>
    </row>
    <row r="27" spans="1:16">
      <c r="A27" s="30" t="s">
        <v>626</v>
      </c>
      <c r="B27" s="28" t="s">
        <v>574</v>
      </c>
      <c r="C27" s="27">
        <v>140</v>
      </c>
      <c r="D27" s="27">
        <v>60</v>
      </c>
      <c r="E27" s="27">
        <v>6</v>
      </c>
      <c r="F27" s="27">
        <v>9</v>
      </c>
      <c r="G27" s="27">
        <v>6</v>
      </c>
      <c r="H27" s="27"/>
      <c r="I27" s="27"/>
      <c r="J27" s="27"/>
      <c r="K27" s="30" t="s">
        <v>2507</v>
      </c>
    </row>
    <row r="28" spans="1:16" s="1" customFormat="1">
      <c r="A28" s="1" t="s">
        <v>191</v>
      </c>
      <c r="B28" s="4" t="s">
        <v>567</v>
      </c>
      <c r="C28" s="3">
        <v>200</v>
      </c>
      <c r="D28" s="3">
        <v>50</v>
      </c>
      <c r="E28" s="3" t="s">
        <v>192</v>
      </c>
      <c r="F28" s="3">
        <v>7</v>
      </c>
      <c r="G28" s="3"/>
      <c r="H28" s="3"/>
      <c r="I28" s="3"/>
      <c r="J28" s="3"/>
      <c r="K28" s="1" t="s">
        <v>130</v>
      </c>
      <c r="L28" s="10"/>
      <c r="M28" s="10"/>
      <c r="N28" s="10"/>
      <c r="O28" s="10"/>
      <c r="P28" s="10"/>
    </row>
    <row r="29" spans="1:16" s="1" customFormat="1">
      <c r="A29" s="26" t="s">
        <v>191</v>
      </c>
      <c r="B29" s="28" t="s">
        <v>382</v>
      </c>
      <c r="C29" s="27">
        <v>140</v>
      </c>
      <c r="D29" s="27">
        <v>60</v>
      </c>
      <c r="E29" s="27" t="s">
        <v>1471</v>
      </c>
      <c r="F29" s="27">
        <v>9</v>
      </c>
      <c r="G29" s="27">
        <v>6</v>
      </c>
      <c r="H29" s="27"/>
      <c r="I29" s="27"/>
      <c r="J29" s="27"/>
      <c r="K29" s="26" t="s">
        <v>1470</v>
      </c>
      <c r="L29" s="10"/>
      <c r="M29" s="10"/>
      <c r="N29" s="10"/>
      <c r="O29" s="10"/>
      <c r="P29" s="10"/>
    </row>
    <row r="30" spans="1:16">
      <c r="A30" s="10" t="s">
        <v>487</v>
      </c>
      <c r="B30" s="6" t="s">
        <v>509</v>
      </c>
      <c r="C30" s="3">
        <v>120</v>
      </c>
      <c r="D30" s="3">
        <v>60</v>
      </c>
      <c r="E30" s="3" t="s">
        <v>444</v>
      </c>
      <c r="F30" s="3" t="s">
        <v>363</v>
      </c>
      <c r="K30" t="s">
        <v>130</v>
      </c>
    </row>
    <row r="31" spans="1:16">
      <c r="A31" s="26" t="s">
        <v>2306</v>
      </c>
      <c r="B31" s="28" t="s">
        <v>204</v>
      </c>
      <c r="C31" s="27" t="s">
        <v>2245</v>
      </c>
      <c r="D31" s="27">
        <v>60</v>
      </c>
      <c r="E31" s="27" t="s">
        <v>1548</v>
      </c>
      <c r="F31" s="27" t="s">
        <v>1555</v>
      </c>
      <c r="G31" s="27" t="s">
        <v>1472</v>
      </c>
      <c r="H31" s="27"/>
      <c r="I31" s="27"/>
      <c r="J31" s="27"/>
      <c r="K31" s="30" t="s">
        <v>130</v>
      </c>
    </row>
    <row r="32" spans="1:16">
      <c r="A32" t="s">
        <v>488</v>
      </c>
      <c r="B32" s="4" t="s">
        <v>512</v>
      </c>
      <c r="C32" s="3">
        <v>120</v>
      </c>
      <c r="D32" s="3">
        <v>60</v>
      </c>
      <c r="E32" s="3" t="s">
        <v>441</v>
      </c>
      <c r="F32" s="3" t="s">
        <v>491</v>
      </c>
      <c r="K32" t="s">
        <v>130</v>
      </c>
    </row>
    <row r="33" spans="1:11">
      <c r="A33" s="30" t="s">
        <v>488</v>
      </c>
      <c r="B33" s="28" t="s">
        <v>337</v>
      </c>
      <c r="C33" s="27" t="s">
        <v>2246</v>
      </c>
      <c r="D33" s="27">
        <v>60</v>
      </c>
      <c r="E33" s="27" t="s">
        <v>1549</v>
      </c>
      <c r="F33" s="27" t="s">
        <v>1554</v>
      </c>
      <c r="G33" s="27" t="s">
        <v>1473</v>
      </c>
      <c r="H33" s="27"/>
      <c r="I33" s="27"/>
      <c r="J33" s="27"/>
      <c r="K33" s="30" t="s">
        <v>130</v>
      </c>
    </row>
    <row r="34" spans="1:11">
      <c r="A34" t="s">
        <v>489</v>
      </c>
      <c r="B34" s="4" t="s">
        <v>510</v>
      </c>
      <c r="C34" s="3">
        <v>120</v>
      </c>
      <c r="D34" s="3">
        <v>60</v>
      </c>
      <c r="E34" s="3" t="s">
        <v>448</v>
      </c>
      <c r="F34" s="3" t="s">
        <v>429</v>
      </c>
      <c r="K34" t="s">
        <v>130</v>
      </c>
    </row>
    <row r="35" spans="1:11">
      <c r="A35" s="30" t="s">
        <v>489</v>
      </c>
      <c r="B35" s="28" t="s">
        <v>927</v>
      </c>
      <c r="C35" s="27" t="s">
        <v>2247</v>
      </c>
      <c r="D35" s="27">
        <v>60</v>
      </c>
      <c r="E35" s="27" t="s">
        <v>1550</v>
      </c>
      <c r="F35" s="27" t="s">
        <v>1552</v>
      </c>
      <c r="G35" s="27" t="s">
        <v>1474</v>
      </c>
      <c r="H35" s="27"/>
      <c r="I35" s="27"/>
      <c r="J35" s="27"/>
      <c r="K35" s="30" t="s">
        <v>130</v>
      </c>
    </row>
    <row r="36" spans="1:11">
      <c r="A36" t="s">
        <v>490</v>
      </c>
      <c r="B36" s="4" t="s">
        <v>511</v>
      </c>
      <c r="C36" s="3">
        <v>120</v>
      </c>
      <c r="D36" s="3">
        <v>60</v>
      </c>
      <c r="E36" s="3" t="s">
        <v>454</v>
      </c>
      <c r="F36" s="3" t="s">
        <v>492</v>
      </c>
      <c r="K36" t="s">
        <v>130</v>
      </c>
    </row>
    <row r="37" spans="1:11">
      <c r="A37" s="30" t="s">
        <v>2296</v>
      </c>
      <c r="B37" s="28" t="s">
        <v>610</v>
      </c>
      <c r="C37" s="27" t="s">
        <v>2248</v>
      </c>
      <c r="D37" s="27">
        <v>60</v>
      </c>
      <c r="E37" s="27" t="s">
        <v>1551</v>
      </c>
      <c r="F37" s="27" t="s">
        <v>1553</v>
      </c>
      <c r="G37" s="27" t="s">
        <v>1475</v>
      </c>
      <c r="H37" s="27"/>
      <c r="I37" s="27"/>
      <c r="J37" s="27"/>
      <c r="K37" s="30" t="s">
        <v>130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X58"/>
  <sheetViews>
    <sheetView workbookViewId="0">
      <pane ySplit="1" topLeftCell="A2" activePane="bottomLeft" state="frozen"/>
      <selection pane="bottomLeft" activeCell="N3" sqref="N3:O5"/>
    </sheetView>
  </sheetViews>
  <sheetFormatPr defaultRowHeight="15"/>
  <cols>
    <col min="1" max="1" width="34.28515625" customWidth="1"/>
    <col min="2" max="2" width="11.42578125" style="34" customWidth="1"/>
    <col min="3" max="3" width="11.42578125" style="4" customWidth="1"/>
    <col min="4" max="4" width="7.85546875" style="34" customWidth="1"/>
    <col min="5" max="11" width="7.85546875" style="4" customWidth="1"/>
    <col min="12" max="12" width="41.42578125" customWidth="1"/>
    <col min="13" max="13" width="9.140625" customWidth="1"/>
    <col min="15" max="15" width="15.7109375" customWidth="1"/>
    <col min="16" max="16" width="9.140625" customWidth="1"/>
  </cols>
  <sheetData>
    <row r="1" spans="1:20" s="18" customFormat="1" ht="15.75" thickBot="1">
      <c r="A1" s="7" t="s">
        <v>34</v>
      </c>
      <c r="B1" s="21" t="s">
        <v>200</v>
      </c>
      <c r="C1" s="14" t="s">
        <v>85</v>
      </c>
      <c r="D1" s="21" t="s">
        <v>207</v>
      </c>
      <c r="E1" s="14" t="s">
        <v>1634</v>
      </c>
      <c r="F1" s="14" t="s">
        <v>1953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42</v>
      </c>
      <c r="L1" s="9" t="s">
        <v>41</v>
      </c>
    </row>
    <row r="2" spans="1:20" s="1" customFormat="1" ht="15.75" thickBot="1">
      <c r="A2" s="1" t="s">
        <v>500</v>
      </c>
      <c r="B2" s="4" t="s">
        <v>501</v>
      </c>
      <c r="C2" s="4" t="s">
        <v>248</v>
      </c>
      <c r="D2" s="4" t="s">
        <v>665</v>
      </c>
      <c r="E2" s="4"/>
      <c r="F2" s="4"/>
      <c r="G2" s="4" t="s">
        <v>495</v>
      </c>
      <c r="H2" s="4"/>
      <c r="I2" s="4"/>
      <c r="J2" s="4"/>
      <c r="K2" s="4"/>
      <c r="L2" s="1" t="s">
        <v>502</v>
      </c>
    </row>
    <row r="3" spans="1:20" s="1" customFormat="1">
      <c r="A3" s="26" t="s">
        <v>500</v>
      </c>
      <c r="B3" s="28" t="s">
        <v>501</v>
      </c>
      <c r="C3" s="28" t="s">
        <v>247</v>
      </c>
      <c r="D3" s="28" t="s">
        <v>158</v>
      </c>
      <c r="E3" s="28"/>
      <c r="F3" s="28"/>
      <c r="G3" s="28" t="s">
        <v>495</v>
      </c>
      <c r="H3" s="28" t="s">
        <v>665</v>
      </c>
      <c r="I3" s="28"/>
      <c r="J3" s="28"/>
      <c r="K3" s="28"/>
      <c r="L3" s="26"/>
      <c r="N3" s="35"/>
      <c r="O3" s="22" t="s">
        <v>72</v>
      </c>
    </row>
    <row r="4" spans="1:20" s="1" customFormat="1">
      <c r="A4" s="1" t="s">
        <v>934</v>
      </c>
      <c r="B4" s="4" t="s">
        <v>158</v>
      </c>
      <c r="C4" s="4" t="s">
        <v>248</v>
      </c>
      <c r="D4" s="4" t="s">
        <v>665</v>
      </c>
      <c r="E4" s="4"/>
      <c r="F4" s="4" t="s">
        <v>157</v>
      </c>
      <c r="G4" s="4"/>
      <c r="H4" s="4"/>
      <c r="I4" s="4"/>
      <c r="J4" s="4"/>
      <c r="K4" s="4"/>
      <c r="L4" s="1" t="s">
        <v>83</v>
      </c>
      <c r="N4" s="43"/>
      <c r="O4" s="44" t="s">
        <v>73</v>
      </c>
    </row>
    <row r="5" spans="1:20" s="1" customFormat="1" ht="15.75" thickBot="1">
      <c r="A5" s="26" t="s">
        <v>933</v>
      </c>
      <c r="B5" s="28" t="s">
        <v>630</v>
      </c>
      <c r="C5" s="28" t="s">
        <v>248</v>
      </c>
      <c r="D5" s="28" t="s">
        <v>158</v>
      </c>
      <c r="E5" s="28"/>
      <c r="F5" s="28" t="s">
        <v>665</v>
      </c>
      <c r="G5" s="28" t="s">
        <v>161</v>
      </c>
      <c r="H5" s="28" t="s">
        <v>495</v>
      </c>
      <c r="I5" s="28"/>
      <c r="J5" s="28"/>
      <c r="K5" s="28"/>
      <c r="L5" s="26" t="s">
        <v>502</v>
      </c>
      <c r="N5" s="51"/>
      <c r="O5" s="45" t="s">
        <v>929</v>
      </c>
    </row>
    <row r="6" spans="1:20" s="1" customFormat="1">
      <c r="A6" s="1" t="s">
        <v>82</v>
      </c>
      <c r="B6" s="4" t="s">
        <v>219</v>
      </c>
      <c r="C6" s="4">
        <v>100</v>
      </c>
      <c r="D6" s="4" t="s">
        <v>153</v>
      </c>
      <c r="E6" s="4"/>
      <c r="F6" s="4">
        <v>4</v>
      </c>
      <c r="G6" s="4">
        <v>6</v>
      </c>
      <c r="H6" s="4"/>
      <c r="I6" s="4"/>
      <c r="J6" s="4"/>
      <c r="K6" s="4"/>
      <c r="L6" s="1" t="s">
        <v>83</v>
      </c>
    </row>
    <row r="7" spans="1:20" s="10" customFormat="1">
      <c r="A7" s="26" t="s">
        <v>82</v>
      </c>
      <c r="B7" s="28" t="s">
        <v>211</v>
      </c>
      <c r="C7" s="28" t="s">
        <v>246</v>
      </c>
      <c r="D7" s="28" t="s">
        <v>332</v>
      </c>
      <c r="E7" s="28"/>
      <c r="F7" s="28">
        <v>2</v>
      </c>
      <c r="G7" s="28">
        <v>4</v>
      </c>
      <c r="H7" s="28" t="s">
        <v>495</v>
      </c>
      <c r="I7" s="28"/>
      <c r="J7" s="28"/>
      <c r="K7" s="28"/>
      <c r="L7" s="26" t="s">
        <v>83</v>
      </c>
      <c r="M7" s="1"/>
      <c r="N7" s="1"/>
      <c r="Q7" s="1"/>
      <c r="R7" s="1"/>
    </row>
    <row r="8" spans="1:20" s="1" customFormat="1">
      <c r="A8" s="1" t="s">
        <v>86</v>
      </c>
      <c r="B8" s="4" t="s">
        <v>218</v>
      </c>
      <c r="C8" s="4">
        <v>100</v>
      </c>
      <c r="D8" s="4" t="s">
        <v>332</v>
      </c>
      <c r="E8" s="4"/>
      <c r="F8" s="4"/>
      <c r="G8" s="4">
        <v>5</v>
      </c>
      <c r="H8" s="4"/>
      <c r="I8" s="4"/>
      <c r="J8" s="4"/>
      <c r="K8" s="4"/>
      <c r="L8" s="1" t="s">
        <v>88</v>
      </c>
      <c r="M8" s="10"/>
      <c r="N8" s="10"/>
      <c r="O8" s="10"/>
      <c r="P8" s="10"/>
      <c r="Q8" s="10"/>
      <c r="R8" s="10"/>
    </row>
    <row r="9" spans="1:20" s="1" customFormat="1">
      <c r="A9" s="26" t="s">
        <v>84</v>
      </c>
      <c r="B9" s="28" t="s">
        <v>201</v>
      </c>
      <c r="C9" s="28" t="s">
        <v>291</v>
      </c>
      <c r="D9" s="28" t="s">
        <v>359</v>
      </c>
      <c r="E9" s="28"/>
      <c r="F9" s="28">
        <v>3</v>
      </c>
      <c r="G9" s="28">
        <v>5</v>
      </c>
      <c r="H9" s="28" t="s">
        <v>161</v>
      </c>
      <c r="I9" s="28"/>
      <c r="J9" s="28"/>
      <c r="K9" s="28"/>
      <c r="L9" s="26" t="s">
        <v>87</v>
      </c>
      <c r="M9" s="10"/>
      <c r="N9" s="10"/>
      <c r="O9" s="10"/>
      <c r="P9" s="10"/>
      <c r="Q9" s="10"/>
      <c r="R9" s="10"/>
      <c r="S9" s="10"/>
      <c r="T9" s="10"/>
    </row>
    <row r="10" spans="1:20" s="1" customFormat="1">
      <c r="A10" s="1" t="s">
        <v>89</v>
      </c>
      <c r="B10" s="4" t="s">
        <v>220</v>
      </c>
      <c r="C10" s="4">
        <v>100</v>
      </c>
      <c r="D10" s="4" t="s">
        <v>458</v>
      </c>
      <c r="E10" s="4"/>
      <c r="F10" s="4">
        <v>3</v>
      </c>
      <c r="G10" s="4">
        <v>5</v>
      </c>
      <c r="H10" s="4"/>
      <c r="I10" s="4"/>
      <c r="J10" s="4"/>
      <c r="K10" s="4"/>
      <c r="L10" s="1" t="s">
        <v>90</v>
      </c>
    </row>
    <row r="11" spans="1:20" s="1" customFormat="1">
      <c r="A11" s="26" t="s">
        <v>89</v>
      </c>
      <c r="B11" s="28" t="s">
        <v>203</v>
      </c>
      <c r="C11" s="28" t="s">
        <v>212</v>
      </c>
      <c r="D11" s="28" t="s">
        <v>501</v>
      </c>
      <c r="E11" s="28"/>
      <c r="F11" s="28">
        <v>4</v>
      </c>
      <c r="G11" s="28">
        <v>7</v>
      </c>
      <c r="H11" s="28" t="s">
        <v>158</v>
      </c>
      <c r="I11" s="28"/>
      <c r="J11" s="28"/>
      <c r="K11" s="28"/>
      <c r="L11" s="26" t="s">
        <v>90</v>
      </c>
    </row>
    <row r="12" spans="1:20" s="1" customFormat="1">
      <c r="A12" s="1" t="s">
        <v>125</v>
      </c>
      <c r="B12" s="4" t="s">
        <v>526</v>
      </c>
      <c r="C12" s="4">
        <v>100</v>
      </c>
      <c r="D12" s="4" t="s">
        <v>359</v>
      </c>
      <c r="E12" s="4"/>
      <c r="F12" s="4">
        <v>5</v>
      </c>
      <c r="G12" s="4">
        <v>7</v>
      </c>
      <c r="H12" s="4"/>
      <c r="I12" s="4"/>
      <c r="J12" s="4"/>
      <c r="K12" s="4"/>
      <c r="L12" s="1" t="s">
        <v>91</v>
      </c>
      <c r="M12" s="10"/>
      <c r="N12" s="10"/>
      <c r="O12" s="10"/>
      <c r="P12" s="10"/>
      <c r="Q12" s="10"/>
      <c r="R12" s="10"/>
    </row>
    <row r="13" spans="1:20" s="1" customFormat="1">
      <c r="A13" s="26" t="s">
        <v>527</v>
      </c>
      <c r="B13" s="28" t="s">
        <v>529</v>
      </c>
      <c r="C13" s="28" t="s">
        <v>331</v>
      </c>
      <c r="D13" s="28" t="s">
        <v>247</v>
      </c>
      <c r="E13" s="28"/>
      <c r="F13" s="28">
        <v>5</v>
      </c>
      <c r="G13" s="28">
        <v>7</v>
      </c>
      <c r="H13" s="28" t="s">
        <v>158</v>
      </c>
      <c r="I13" s="28"/>
      <c r="J13" s="28"/>
      <c r="K13" s="28"/>
      <c r="L13" s="26" t="s">
        <v>91</v>
      </c>
      <c r="M13" s="10"/>
      <c r="N13" s="10"/>
      <c r="O13" s="10"/>
      <c r="P13" s="10"/>
      <c r="Q13" s="10"/>
      <c r="R13" s="10"/>
    </row>
    <row r="14" spans="1:20" s="1" customFormat="1">
      <c r="A14" s="1" t="s">
        <v>92</v>
      </c>
      <c r="B14" s="4" t="s">
        <v>220</v>
      </c>
      <c r="C14" s="4">
        <v>100</v>
      </c>
      <c r="D14" s="4" t="s">
        <v>458</v>
      </c>
      <c r="E14" s="4"/>
      <c r="F14" s="4">
        <v>3</v>
      </c>
      <c r="G14" s="4">
        <v>5</v>
      </c>
      <c r="H14" s="4"/>
      <c r="I14" s="4"/>
      <c r="J14" s="4"/>
      <c r="K14" s="4"/>
      <c r="L14" s="1" t="s">
        <v>213</v>
      </c>
    </row>
    <row r="15" spans="1:20" s="1" customFormat="1">
      <c r="A15" s="26" t="s">
        <v>2304</v>
      </c>
      <c r="B15" s="28" t="s">
        <v>383</v>
      </c>
      <c r="C15" s="28" t="s">
        <v>212</v>
      </c>
      <c r="D15" s="28" t="s">
        <v>501</v>
      </c>
      <c r="E15" s="28"/>
      <c r="F15" s="28" t="s">
        <v>157</v>
      </c>
      <c r="G15" s="28">
        <v>7</v>
      </c>
      <c r="H15" s="28" t="s">
        <v>158</v>
      </c>
      <c r="I15" s="28"/>
      <c r="J15" s="28"/>
      <c r="K15" s="28"/>
      <c r="L15" s="26" t="s">
        <v>1660</v>
      </c>
      <c r="M15" s="10"/>
      <c r="N15" s="10"/>
      <c r="O15" s="10"/>
      <c r="P15" s="10"/>
      <c r="Q15" s="10"/>
    </row>
    <row r="16" spans="1:20" s="1" customFormat="1">
      <c r="A16" s="1" t="s">
        <v>80</v>
      </c>
      <c r="B16" s="4" t="s">
        <v>221</v>
      </c>
      <c r="C16" s="4">
        <v>150</v>
      </c>
      <c r="D16" s="4" t="s">
        <v>359</v>
      </c>
      <c r="E16" s="4"/>
      <c r="F16" s="4">
        <v>6</v>
      </c>
      <c r="G16" s="4">
        <v>8</v>
      </c>
      <c r="H16" s="4"/>
      <c r="I16" s="4"/>
      <c r="J16" s="4"/>
      <c r="K16" s="4"/>
      <c r="L16" s="1" t="s">
        <v>81</v>
      </c>
    </row>
    <row r="17" spans="1:24" s="1" customFormat="1">
      <c r="A17" s="26" t="s">
        <v>80</v>
      </c>
      <c r="B17" s="28" t="s">
        <v>222</v>
      </c>
      <c r="C17" s="28" t="s">
        <v>211</v>
      </c>
      <c r="D17" s="28" t="s">
        <v>247</v>
      </c>
      <c r="E17" s="28"/>
      <c r="F17" s="28">
        <v>6</v>
      </c>
      <c r="G17" s="28">
        <v>8</v>
      </c>
      <c r="H17" s="28" t="s">
        <v>617</v>
      </c>
      <c r="I17" s="28"/>
      <c r="J17" s="28"/>
      <c r="K17" s="28"/>
      <c r="L17" s="26" t="s">
        <v>81</v>
      </c>
    </row>
    <row r="18" spans="1:24">
      <c r="A18" s="40" t="s">
        <v>1571</v>
      </c>
      <c r="B18" s="39" t="s">
        <v>599</v>
      </c>
      <c r="C18" s="39" t="s">
        <v>562</v>
      </c>
      <c r="D18" s="39" t="s">
        <v>248</v>
      </c>
      <c r="E18" s="39"/>
      <c r="F18" s="39">
        <v>6</v>
      </c>
      <c r="G18" s="39">
        <v>8</v>
      </c>
      <c r="H18" s="39" t="s">
        <v>617</v>
      </c>
      <c r="I18" s="39" t="s">
        <v>522</v>
      </c>
      <c r="J18" s="39"/>
      <c r="K18" s="39"/>
      <c r="L18" s="40" t="s">
        <v>81</v>
      </c>
      <c r="M18" s="10"/>
      <c r="N18" s="10"/>
      <c r="O18" s="10"/>
      <c r="P18" s="10"/>
      <c r="Q18" s="10"/>
      <c r="R18" s="10"/>
    </row>
    <row r="19" spans="1:24" s="1" customFormat="1">
      <c r="A19" s="1" t="s">
        <v>932</v>
      </c>
      <c r="B19" s="4" t="s">
        <v>412</v>
      </c>
      <c r="C19" s="4">
        <v>150</v>
      </c>
      <c r="D19" s="4" t="s">
        <v>359</v>
      </c>
      <c r="E19" s="4"/>
      <c r="F19" s="4" t="s">
        <v>458</v>
      </c>
      <c r="G19" s="4"/>
      <c r="H19" s="4"/>
      <c r="I19" s="4"/>
      <c r="J19" s="4"/>
      <c r="K19" s="4"/>
      <c r="L19" s="1" t="s">
        <v>91</v>
      </c>
    </row>
    <row r="20" spans="1:24" s="1" customFormat="1">
      <c r="A20" s="26" t="s">
        <v>932</v>
      </c>
      <c r="B20" s="28" t="s">
        <v>633</v>
      </c>
      <c r="C20" s="28" t="s">
        <v>568</v>
      </c>
      <c r="D20" s="28" t="s">
        <v>247</v>
      </c>
      <c r="E20" s="28"/>
      <c r="F20" s="28" t="s">
        <v>153</v>
      </c>
      <c r="G20" s="28" t="s">
        <v>153</v>
      </c>
      <c r="H20" s="28" t="s">
        <v>153</v>
      </c>
      <c r="I20" s="28" t="s">
        <v>158</v>
      </c>
      <c r="J20" s="28"/>
      <c r="K20" s="28"/>
      <c r="L20" s="26" t="s">
        <v>91</v>
      </c>
    </row>
    <row r="21" spans="1:24">
      <c r="A21" s="1" t="s">
        <v>936</v>
      </c>
      <c r="B21" s="34">
        <v>170</v>
      </c>
      <c r="C21" s="4" t="s">
        <v>248</v>
      </c>
      <c r="D21" s="4" t="s">
        <v>665</v>
      </c>
      <c r="G21" s="4" t="s">
        <v>161</v>
      </c>
      <c r="L21" t="s">
        <v>1956</v>
      </c>
    </row>
    <row r="22" spans="1:24">
      <c r="A22" s="26" t="s">
        <v>936</v>
      </c>
      <c r="B22" s="33">
        <v>185</v>
      </c>
      <c r="C22" s="28" t="s">
        <v>247</v>
      </c>
      <c r="D22" s="28" t="s">
        <v>158</v>
      </c>
      <c r="E22" s="28"/>
      <c r="F22" s="28"/>
      <c r="G22" s="28" t="s">
        <v>495</v>
      </c>
      <c r="H22" s="28" t="s">
        <v>665</v>
      </c>
      <c r="I22" s="28"/>
      <c r="J22" s="28"/>
      <c r="K22" s="28"/>
      <c r="L22" s="30" t="s">
        <v>1956</v>
      </c>
    </row>
    <row r="23" spans="1:24">
      <c r="A23" s="1" t="s">
        <v>494</v>
      </c>
      <c r="B23" s="34">
        <v>125</v>
      </c>
      <c r="C23" s="4" t="s">
        <v>248</v>
      </c>
      <c r="D23" s="4" t="s">
        <v>665</v>
      </c>
      <c r="G23" s="4" t="s">
        <v>158</v>
      </c>
      <c r="L23" t="s">
        <v>1479</v>
      </c>
    </row>
    <row r="24" spans="1:24">
      <c r="A24" s="30" t="s">
        <v>493</v>
      </c>
      <c r="B24" s="33">
        <v>635</v>
      </c>
      <c r="C24" s="28" t="s">
        <v>247</v>
      </c>
      <c r="D24" s="28">
        <v>5</v>
      </c>
      <c r="E24" s="28"/>
      <c r="F24" s="28"/>
      <c r="G24" s="28" t="s">
        <v>495</v>
      </c>
      <c r="H24" s="28" t="s">
        <v>665</v>
      </c>
      <c r="I24" s="28"/>
      <c r="J24" s="28"/>
      <c r="K24" s="28"/>
      <c r="L24" s="30" t="s">
        <v>1479</v>
      </c>
      <c r="M24" s="19"/>
      <c r="N24" s="19"/>
      <c r="O24" s="19"/>
      <c r="P24" s="19"/>
      <c r="Q24" s="19"/>
    </row>
    <row r="25" spans="1:24">
      <c r="A25" s="1" t="s">
        <v>935</v>
      </c>
      <c r="B25" s="34">
        <v>510</v>
      </c>
      <c r="C25" s="4" t="s">
        <v>212</v>
      </c>
      <c r="D25" s="4" t="s">
        <v>332</v>
      </c>
      <c r="F25" s="4" t="s">
        <v>158</v>
      </c>
      <c r="G25" s="4" t="s">
        <v>158</v>
      </c>
      <c r="L25" t="s">
        <v>1478</v>
      </c>
    </row>
    <row r="26" spans="1:24">
      <c r="A26" s="26" t="s">
        <v>935</v>
      </c>
      <c r="B26" s="33">
        <v>333</v>
      </c>
      <c r="C26" s="28" t="s">
        <v>247</v>
      </c>
      <c r="D26" s="28" t="s">
        <v>158</v>
      </c>
      <c r="E26" s="28"/>
      <c r="F26" s="28"/>
      <c r="G26" s="28" t="s">
        <v>495</v>
      </c>
      <c r="H26" s="28" t="s">
        <v>665</v>
      </c>
      <c r="I26" s="28"/>
      <c r="J26" s="28"/>
      <c r="K26" s="28"/>
      <c r="L26" s="30" t="s">
        <v>1480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>
      <c r="A27" t="s">
        <v>496</v>
      </c>
      <c r="B27" s="34">
        <v>277</v>
      </c>
      <c r="C27" s="4" t="s">
        <v>212</v>
      </c>
      <c r="D27" s="4">
        <v>1</v>
      </c>
      <c r="F27" s="4" t="s">
        <v>503</v>
      </c>
      <c r="G27" s="4" t="s">
        <v>367</v>
      </c>
    </row>
    <row r="28" spans="1:24">
      <c r="A28" s="30" t="s">
        <v>2307</v>
      </c>
      <c r="B28" s="33">
        <v>300</v>
      </c>
      <c r="C28" s="28" t="s">
        <v>2249</v>
      </c>
      <c r="D28" s="28">
        <v>5</v>
      </c>
      <c r="E28" s="28"/>
      <c r="F28" s="28" t="s">
        <v>503</v>
      </c>
      <c r="G28" s="28" t="s">
        <v>505</v>
      </c>
      <c r="H28" s="28" t="s">
        <v>1483</v>
      </c>
      <c r="I28" s="28"/>
      <c r="J28" s="28"/>
      <c r="K28" s="28"/>
      <c r="L28" s="30" t="s">
        <v>1142</v>
      </c>
    </row>
    <row r="29" spans="1:24">
      <c r="A29" t="s">
        <v>497</v>
      </c>
      <c r="B29" s="34">
        <v>840</v>
      </c>
      <c r="C29" s="4" t="s">
        <v>212</v>
      </c>
      <c r="D29" s="4">
        <v>1</v>
      </c>
      <c r="F29" s="4" t="s">
        <v>404</v>
      </c>
      <c r="G29" s="4" t="s">
        <v>403</v>
      </c>
    </row>
    <row r="30" spans="1:24">
      <c r="A30" s="30" t="s">
        <v>1481</v>
      </c>
      <c r="B30" s="33">
        <v>800</v>
      </c>
      <c r="C30" s="28" t="s">
        <v>2250</v>
      </c>
      <c r="D30" s="28">
        <v>5</v>
      </c>
      <c r="E30" s="28"/>
      <c r="F30" s="28" t="s">
        <v>435</v>
      </c>
      <c r="G30" s="28" t="s">
        <v>508</v>
      </c>
      <c r="H30" s="28" t="s">
        <v>1484</v>
      </c>
      <c r="I30" s="28"/>
      <c r="J30" s="28"/>
      <c r="K30" s="28"/>
      <c r="L30" s="30" t="s">
        <v>942</v>
      </c>
    </row>
    <row r="31" spans="1:24">
      <c r="A31" t="s">
        <v>498</v>
      </c>
      <c r="B31" s="34">
        <v>1777</v>
      </c>
      <c r="C31" s="4" t="s">
        <v>212</v>
      </c>
      <c r="D31" s="4">
        <v>1</v>
      </c>
      <c r="F31" s="4" t="s">
        <v>435</v>
      </c>
      <c r="G31" s="4" t="s">
        <v>504</v>
      </c>
    </row>
    <row r="32" spans="1:24">
      <c r="A32" s="30" t="s">
        <v>1482</v>
      </c>
      <c r="B32" s="33">
        <v>1550</v>
      </c>
      <c r="C32" s="28" t="s">
        <v>2251</v>
      </c>
      <c r="D32" s="28">
        <v>5</v>
      </c>
      <c r="E32" s="28"/>
      <c r="F32" s="28" t="s">
        <v>406</v>
      </c>
      <c r="G32" s="28" t="s">
        <v>507</v>
      </c>
      <c r="H32" s="28" t="s">
        <v>1485</v>
      </c>
      <c r="I32" s="28"/>
      <c r="J32" s="28"/>
      <c r="K32" s="28"/>
      <c r="L32" s="30" t="s">
        <v>1143</v>
      </c>
    </row>
    <row r="33" spans="1:20">
      <c r="A33" t="s">
        <v>499</v>
      </c>
      <c r="B33" s="34">
        <v>3090</v>
      </c>
      <c r="C33" s="4" t="s">
        <v>212</v>
      </c>
      <c r="D33" s="4">
        <v>1</v>
      </c>
      <c r="F33" s="4" t="s">
        <v>360</v>
      </c>
      <c r="G33" s="4" t="s">
        <v>387</v>
      </c>
    </row>
    <row r="34" spans="1:20">
      <c r="A34" s="30" t="s">
        <v>2299</v>
      </c>
      <c r="B34" s="33">
        <v>2550</v>
      </c>
      <c r="C34" s="28" t="s">
        <v>2252</v>
      </c>
      <c r="D34" s="28">
        <v>5</v>
      </c>
      <c r="E34" s="28"/>
      <c r="F34" s="28" t="s">
        <v>449</v>
      </c>
      <c r="G34" s="28" t="s">
        <v>506</v>
      </c>
      <c r="H34" s="28" t="s">
        <v>1486</v>
      </c>
      <c r="I34" s="28"/>
      <c r="J34" s="28"/>
      <c r="K34" s="28"/>
      <c r="L34" s="30" t="s">
        <v>943</v>
      </c>
    </row>
    <row r="35" spans="1:20">
      <c r="A35" s="19" t="s">
        <v>1280</v>
      </c>
      <c r="B35" s="32">
        <v>15</v>
      </c>
      <c r="C35" s="6" t="s">
        <v>247</v>
      </c>
      <c r="D35" s="32">
        <v>10</v>
      </c>
      <c r="E35" s="6"/>
      <c r="F35" s="6"/>
      <c r="G35" s="6" t="s">
        <v>665</v>
      </c>
      <c r="H35" s="6"/>
      <c r="I35" s="6"/>
      <c r="J35" s="6"/>
      <c r="K35" s="6"/>
      <c r="L35" s="19"/>
      <c r="M35" s="19"/>
      <c r="N35" s="19"/>
      <c r="O35" s="19"/>
      <c r="P35" s="19"/>
      <c r="Q35" s="19"/>
    </row>
    <row r="36" spans="1:20">
      <c r="A36" s="30" t="s">
        <v>1282</v>
      </c>
      <c r="B36" s="33">
        <v>15</v>
      </c>
      <c r="C36" s="28" t="s">
        <v>247</v>
      </c>
      <c r="D36" s="33">
        <v>15</v>
      </c>
      <c r="E36" s="28"/>
      <c r="F36" s="28"/>
      <c r="G36" s="28" t="s">
        <v>495</v>
      </c>
      <c r="H36" s="28"/>
      <c r="I36" s="28"/>
      <c r="J36" s="28"/>
      <c r="K36" s="28"/>
      <c r="L36" s="30" t="s">
        <v>1279</v>
      </c>
      <c r="M36" s="19"/>
      <c r="N36" s="19"/>
      <c r="O36" s="19"/>
      <c r="P36" s="19"/>
      <c r="Q36" s="19"/>
    </row>
    <row r="37" spans="1:20">
      <c r="A37" s="19" t="s">
        <v>1281</v>
      </c>
      <c r="B37" s="32">
        <v>35</v>
      </c>
      <c r="C37" s="6" t="s">
        <v>246</v>
      </c>
      <c r="D37" s="32">
        <v>10</v>
      </c>
      <c r="E37" s="6"/>
      <c r="F37" s="6"/>
      <c r="G37" s="6" t="s">
        <v>495</v>
      </c>
      <c r="H37" s="6"/>
      <c r="I37" s="6"/>
      <c r="J37" s="6"/>
      <c r="K37" s="6"/>
      <c r="L37" s="19"/>
      <c r="M37" s="19"/>
      <c r="N37" s="19"/>
      <c r="O37" s="19"/>
      <c r="P37" s="19"/>
      <c r="Q37" s="19"/>
    </row>
    <row r="38" spans="1:20">
      <c r="A38" s="30" t="s">
        <v>1283</v>
      </c>
      <c r="B38" s="33">
        <v>35</v>
      </c>
      <c r="C38" s="28" t="s">
        <v>250</v>
      </c>
      <c r="D38" s="33">
        <v>15</v>
      </c>
      <c r="E38" s="28"/>
      <c r="F38" s="28"/>
      <c r="G38" s="28" t="s">
        <v>161</v>
      </c>
      <c r="H38" s="28" t="s">
        <v>665</v>
      </c>
      <c r="I38" s="28"/>
      <c r="J38" s="28"/>
      <c r="K38" s="28"/>
      <c r="L38" s="30" t="s">
        <v>1275</v>
      </c>
      <c r="M38" s="19"/>
      <c r="N38" s="19"/>
      <c r="O38" s="19"/>
      <c r="P38" s="19"/>
      <c r="Q38" s="19"/>
    </row>
    <row r="39" spans="1:20">
      <c r="A39" s="19" t="s">
        <v>1276</v>
      </c>
      <c r="B39" s="32">
        <v>35</v>
      </c>
      <c r="C39" s="6" t="s">
        <v>247</v>
      </c>
      <c r="D39" s="32">
        <v>15</v>
      </c>
      <c r="E39" s="6"/>
      <c r="F39" s="6"/>
      <c r="G39" s="6" t="s">
        <v>495</v>
      </c>
      <c r="H39" s="6"/>
      <c r="I39" s="6"/>
      <c r="J39" s="6"/>
      <c r="K39" s="6"/>
      <c r="L39" s="19"/>
      <c r="M39" s="19"/>
      <c r="N39" s="19"/>
      <c r="O39" s="19"/>
      <c r="P39" s="19"/>
      <c r="Q39" s="19"/>
    </row>
    <row r="40" spans="1:20">
      <c r="A40" s="30" t="s">
        <v>1277</v>
      </c>
      <c r="B40" s="33">
        <v>15</v>
      </c>
      <c r="C40" s="28" t="s">
        <v>247</v>
      </c>
      <c r="D40" s="33">
        <v>20</v>
      </c>
      <c r="E40" s="28"/>
      <c r="F40" s="28"/>
      <c r="G40" s="28" t="s">
        <v>495</v>
      </c>
      <c r="H40" s="28"/>
      <c r="I40" s="28"/>
      <c r="J40" s="28"/>
      <c r="K40" s="28"/>
      <c r="L40" s="30" t="s">
        <v>1279</v>
      </c>
      <c r="M40" s="19"/>
      <c r="N40" s="19"/>
      <c r="O40" s="19"/>
      <c r="P40" s="19"/>
      <c r="Q40" s="19"/>
      <c r="R40" s="19"/>
      <c r="S40" s="19"/>
      <c r="T40" s="19"/>
    </row>
    <row r="41" spans="1:20">
      <c r="A41" s="19" t="s">
        <v>1278</v>
      </c>
      <c r="B41" s="32">
        <v>15</v>
      </c>
      <c r="C41" s="6" t="s">
        <v>246</v>
      </c>
      <c r="D41" s="32">
        <v>15</v>
      </c>
      <c r="E41" s="6"/>
      <c r="F41" s="6"/>
      <c r="G41" s="6" t="s">
        <v>665</v>
      </c>
      <c r="H41" s="6"/>
      <c r="I41" s="6"/>
      <c r="J41" s="6"/>
      <c r="K41" s="6"/>
      <c r="L41" s="19"/>
      <c r="M41" s="19"/>
      <c r="N41" s="19"/>
      <c r="O41" s="19"/>
      <c r="P41" s="19"/>
      <c r="Q41" s="19"/>
    </row>
    <row r="42" spans="1:20">
      <c r="A42" s="30" t="s">
        <v>1274</v>
      </c>
      <c r="B42" s="33">
        <v>35</v>
      </c>
      <c r="C42" s="28" t="s">
        <v>250</v>
      </c>
      <c r="D42" s="33">
        <v>20</v>
      </c>
      <c r="E42" s="28"/>
      <c r="F42" s="28"/>
      <c r="G42" s="28" t="s">
        <v>161</v>
      </c>
      <c r="H42" s="28" t="s">
        <v>665</v>
      </c>
      <c r="I42" s="28"/>
      <c r="J42" s="28"/>
      <c r="K42" s="28"/>
      <c r="L42" s="30" t="s">
        <v>1275</v>
      </c>
      <c r="M42" s="19"/>
      <c r="N42" s="19"/>
      <c r="O42" s="19"/>
      <c r="P42" s="19"/>
      <c r="Q42" s="19"/>
    </row>
    <row r="43" spans="1:20">
      <c r="A43" s="19" t="s">
        <v>1490</v>
      </c>
      <c r="B43" s="32">
        <v>15</v>
      </c>
      <c r="C43" s="6" t="s">
        <v>247</v>
      </c>
      <c r="D43" s="32">
        <v>20</v>
      </c>
      <c r="E43" s="6"/>
      <c r="F43" s="6"/>
      <c r="G43" s="6" t="s">
        <v>161</v>
      </c>
      <c r="H43" s="6"/>
      <c r="I43" s="6"/>
      <c r="J43" s="6"/>
      <c r="K43" s="6"/>
      <c r="L43" s="19"/>
      <c r="M43" s="19"/>
      <c r="N43" s="19"/>
      <c r="O43" s="19"/>
      <c r="P43" s="19"/>
      <c r="Q43" s="19"/>
    </row>
    <row r="44" spans="1:20">
      <c r="A44" s="30" t="s">
        <v>1490</v>
      </c>
      <c r="B44" s="33">
        <v>20</v>
      </c>
      <c r="C44" s="28" t="s">
        <v>247</v>
      </c>
      <c r="D44" s="33">
        <v>20</v>
      </c>
      <c r="E44" s="28"/>
      <c r="F44" s="28"/>
      <c r="G44" s="28" t="s">
        <v>161</v>
      </c>
      <c r="H44" s="28" t="s">
        <v>665</v>
      </c>
      <c r="I44" s="28"/>
      <c r="J44" s="28"/>
      <c r="K44" s="28"/>
      <c r="L44" s="30"/>
      <c r="M44" s="19"/>
      <c r="N44" s="19"/>
      <c r="O44" s="19"/>
      <c r="P44" s="19"/>
      <c r="Q44" s="19"/>
    </row>
    <row r="45" spans="1:20">
      <c r="A45" s="19" t="s">
        <v>1489</v>
      </c>
      <c r="B45" s="32">
        <v>30</v>
      </c>
      <c r="C45" s="6" t="s">
        <v>246</v>
      </c>
      <c r="D45" s="32">
        <v>20</v>
      </c>
      <c r="E45" s="6"/>
      <c r="F45" s="6"/>
      <c r="G45" s="6" t="s">
        <v>158</v>
      </c>
      <c r="H45" s="6"/>
      <c r="I45" s="6"/>
      <c r="J45" s="6"/>
      <c r="K45" s="6"/>
      <c r="L45" s="19"/>
      <c r="M45" s="19"/>
      <c r="N45" s="19"/>
      <c r="O45" s="19"/>
      <c r="P45" s="19"/>
      <c r="Q45" s="19"/>
    </row>
    <row r="46" spans="1:20">
      <c r="A46" s="30" t="s">
        <v>1489</v>
      </c>
      <c r="B46" s="33">
        <v>40</v>
      </c>
      <c r="C46" s="28" t="s">
        <v>246</v>
      </c>
      <c r="D46" s="33">
        <v>20</v>
      </c>
      <c r="E46" s="28"/>
      <c r="F46" s="28"/>
      <c r="G46" s="28" t="s">
        <v>158</v>
      </c>
      <c r="H46" s="28" t="s">
        <v>495</v>
      </c>
      <c r="I46" s="28"/>
      <c r="J46" s="28"/>
      <c r="K46" s="28"/>
      <c r="L46" s="30"/>
      <c r="M46" s="19"/>
      <c r="N46" s="19"/>
      <c r="O46" s="19"/>
      <c r="P46" s="19"/>
      <c r="Q46" s="19"/>
    </row>
    <row r="47" spans="1:20">
      <c r="A47" s="19" t="s">
        <v>1491</v>
      </c>
      <c r="B47" s="32">
        <v>510</v>
      </c>
      <c r="C47" s="6" t="s">
        <v>246</v>
      </c>
      <c r="D47" s="32">
        <v>20</v>
      </c>
      <c r="E47" s="6" t="s">
        <v>598</v>
      </c>
      <c r="F47" s="6"/>
      <c r="G47" s="6" t="s">
        <v>158</v>
      </c>
      <c r="H47" s="6"/>
      <c r="I47" s="6"/>
      <c r="J47" s="6"/>
      <c r="K47" s="6"/>
      <c r="L47" s="19"/>
      <c r="M47" s="19"/>
      <c r="N47" s="19"/>
      <c r="O47" s="19"/>
      <c r="P47" s="19"/>
      <c r="Q47" s="19"/>
    </row>
    <row r="48" spans="1:20">
      <c r="A48" s="30" t="s">
        <v>1491</v>
      </c>
      <c r="B48" s="33">
        <v>540</v>
      </c>
      <c r="C48" s="28" t="s">
        <v>2253</v>
      </c>
      <c r="D48" s="33">
        <v>20</v>
      </c>
      <c r="E48" s="28" t="s">
        <v>598</v>
      </c>
      <c r="F48" s="28"/>
      <c r="G48" s="28" t="s">
        <v>158</v>
      </c>
      <c r="H48" s="28" t="s">
        <v>495</v>
      </c>
      <c r="I48" s="28"/>
      <c r="J48" s="28"/>
      <c r="K48" s="28"/>
      <c r="L48" s="30"/>
      <c r="M48" s="19"/>
      <c r="N48" s="19"/>
      <c r="O48" s="19"/>
      <c r="P48" s="19"/>
      <c r="Q48" s="19"/>
    </row>
    <row r="49" spans="1:17">
      <c r="A49" s="19" t="s">
        <v>1284</v>
      </c>
      <c r="B49" s="32">
        <v>130</v>
      </c>
      <c r="C49" s="6" t="s">
        <v>212</v>
      </c>
      <c r="D49" s="32">
        <v>20</v>
      </c>
      <c r="E49" s="6"/>
      <c r="F49" s="6"/>
      <c r="G49" s="6" t="s">
        <v>156</v>
      </c>
      <c r="H49" s="6"/>
      <c r="I49" s="6"/>
      <c r="J49" s="6"/>
      <c r="K49" s="6"/>
      <c r="L49" s="19"/>
      <c r="M49" s="19"/>
      <c r="N49" s="19"/>
      <c r="O49" s="19"/>
      <c r="P49" s="19"/>
      <c r="Q49" s="19"/>
    </row>
    <row r="50" spans="1:17">
      <c r="A50" s="30" t="s">
        <v>1284</v>
      </c>
      <c r="B50" s="33">
        <v>125</v>
      </c>
      <c r="C50" s="28" t="s">
        <v>212</v>
      </c>
      <c r="D50" s="33">
        <v>25</v>
      </c>
      <c r="E50" s="28"/>
      <c r="F50" s="28"/>
      <c r="G50" s="28" t="s">
        <v>156</v>
      </c>
      <c r="H50" s="28" t="s">
        <v>157</v>
      </c>
      <c r="I50" s="28"/>
      <c r="J50" s="28"/>
      <c r="K50" s="28"/>
      <c r="L50" s="30"/>
      <c r="M50" s="19"/>
      <c r="N50" s="19"/>
      <c r="O50" s="19"/>
      <c r="P50" s="19"/>
      <c r="Q50" s="19"/>
    </row>
    <row r="51" spans="1:17">
      <c r="A51" s="19" t="s">
        <v>120</v>
      </c>
      <c r="B51" s="32">
        <v>200</v>
      </c>
      <c r="C51" s="6">
        <v>120</v>
      </c>
      <c r="D51" s="32">
        <v>50</v>
      </c>
      <c r="E51" s="6">
        <v>-10</v>
      </c>
      <c r="F51" s="6"/>
      <c r="G51" s="6">
        <v>10</v>
      </c>
      <c r="H51" s="6"/>
      <c r="I51" s="6"/>
      <c r="J51" s="6"/>
      <c r="K51" s="6"/>
      <c r="L51" s="19"/>
      <c r="M51" s="19"/>
      <c r="N51" s="19"/>
      <c r="O51" s="19"/>
      <c r="P51" s="19"/>
      <c r="Q51" s="19"/>
    </row>
    <row r="52" spans="1:17">
      <c r="A52" s="30" t="s">
        <v>120</v>
      </c>
      <c r="B52" s="33">
        <v>200</v>
      </c>
      <c r="C52" s="28" t="s">
        <v>562</v>
      </c>
      <c r="D52" s="33">
        <v>50</v>
      </c>
      <c r="E52" s="28" t="s">
        <v>365</v>
      </c>
      <c r="F52" s="28" t="s">
        <v>495</v>
      </c>
      <c r="G52" s="28">
        <v>10</v>
      </c>
      <c r="H52" s="28" t="s">
        <v>158</v>
      </c>
      <c r="I52" s="28"/>
      <c r="J52" s="28"/>
      <c r="K52" s="28"/>
      <c r="L52" s="30"/>
      <c r="M52" s="19"/>
      <c r="N52" s="19"/>
      <c r="O52" s="19"/>
      <c r="P52" s="19"/>
      <c r="Q52" s="19"/>
    </row>
    <row r="53" spans="1:17">
      <c r="A53" s="53" t="s">
        <v>96</v>
      </c>
      <c r="B53" s="54">
        <v>487</v>
      </c>
      <c r="C53" s="49">
        <v>120</v>
      </c>
      <c r="D53" s="54">
        <v>50</v>
      </c>
      <c r="E53" s="49">
        <v>-10</v>
      </c>
      <c r="F53" s="49"/>
      <c r="G53" s="49">
        <v>10</v>
      </c>
      <c r="H53" s="49"/>
      <c r="I53" s="49"/>
      <c r="J53" s="49"/>
      <c r="K53" s="49"/>
      <c r="L53" s="53" t="s">
        <v>1476</v>
      </c>
      <c r="M53" s="19"/>
      <c r="N53" s="19"/>
      <c r="O53" s="19"/>
      <c r="P53" s="19"/>
    </row>
    <row r="54" spans="1:17">
      <c r="A54" s="30" t="s">
        <v>96</v>
      </c>
      <c r="B54" s="33">
        <v>440</v>
      </c>
      <c r="C54" s="28" t="s">
        <v>562</v>
      </c>
      <c r="D54" s="33">
        <v>60</v>
      </c>
      <c r="E54" s="28" t="s">
        <v>1492</v>
      </c>
      <c r="F54" s="28" t="s">
        <v>495</v>
      </c>
      <c r="G54" s="28">
        <v>10</v>
      </c>
      <c r="H54" s="28" t="s">
        <v>158</v>
      </c>
      <c r="I54" s="28"/>
      <c r="J54" s="28"/>
      <c r="K54" s="28"/>
      <c r="L54" s="30" t="s">
        <v>1677</v>
      </c>
      <c r="M54" s="19"/>
      <c r="N54" s="19"/>
      <c r="O54" s="19"/>
      <c r="P54" s="19"/>
      <c r="Q54" s="19"/>
    </row>
    <row r="55" spans="1:17">
      <c r="A55" s="37" t="s">
        <v>760</v>
      </c>
      <c r="B55" s="38">
        <v>250</v>
      </c>
      <c r="C55" s="39" t="s">
        <v>412</v>
      </c>
      <c r="D55" s="38">
        <v>60</v>
      </c>
      <c r="E55" s="39" t="s">
        <v>365</v>
      </c>
      <c r="F55" s="39" t="s">
        <v>158</v>
      </c>
      <c r="G55" s="39" t="s">
        <v>617</v>
      </c>
      <c r="H55" s="39" t="s">
        <v>154</v>
      </c>
      <c r="I55" s="39"/>
      <c r="J55" s="39"/>
      <c r="K55" s="39"/>
      <c r="L55" s="37"/>
      <c r="M55" s="19"/>
      <c r="N55" s="19"/>
      <c r="O55" s="19"/>
      <c r="P55" s="19"/>
      <c r="Q55" s="19"/>
    </row>
    <row r="56" spans="1:17">
      <c r="A56" s="37" t="s">
        <v>761</v>
      </c>
      <c r="B56" s="38">
        <v>750</v>
      </c>
      <c r="C56" s="39" t="s">
        <v>412</v>
      </c>
      <c r="D56" s="38">
        <v>75</v>
      </c>
      <c r="E56" s="39" t="s">
        <v>365</v>
      </c>
      <c r="F56" s="39" t="s">
        <v>158</v>
      </c>
      <c r="G56" s="39" t="s">
        <v>617</v>
      </c>
      <c r="H56" s="39" t="s">
        <v>154</v>
      </c>
      <c r="I56" s="39" t="s">
        <v>1746</v>
      </c>
      <c r="J56" s="39"/>
      <c r="K56" s="39"/>
      <c r="L56" s="37"/>
      <c r="M56" s="19"/>
      <c r="N56" s="19"/>
      <c r="O56" s="19"/>
      <c r="P56" s="19"/>
      <c r="Q56" s="19"/>
    </row>
    <row r="57" spans="1:17">
      <c r="A57" s="19" t="s">
        <v>718</v>
      </c>
      <c r="B57" s="32">
        <v>1140</v>
      </c>
      <c r="C57" s="6" t="s">
        <v>211</v>
      </c>
      <c r="D57" s="32">
        <v>20</v>
      </c>
      <c r="E57" s="6" t="s">
        <v>365</v>
      </c>
      <c r="F57" s="6" t="s">
        <v>158</v>
      </c>
      <c r="G57" s="6" t="s">
        <v>154</v>
      </c>
      <c r="H57" s="6"/>
      <c r="I57" s="6"/>
      <c r="J57" s="6"/>
      <c r="K57" s="6"/>
      <c r="L57" s="19" t="s">
        <v>1477</v>
      </c>
    </row>
    <row r="58" spans="1:17">
      <c r="A58" s="30" t="s">
        <v>2277</v>
      </c>
      <c r="B58" s="33">
        <v>1100</v>
      </c>
      <c r="C58" s="28" t="s">
        <v>412</v>
      </c>
      <c r="D58" s="33" t="s">
        <v>1544</v>
      </c>
      <c r="E58" s="28" t="s">
        <v>368</v>
      </c>
      <c r="F58" s="28" t="s">
        <v>158</v>
      </c>
      <c r="G58" s="28" t="s">
        <v>617</v>
      </c>
      <c r="H58" s="28" t="s">
        <v>154</v>
      </c>
      <c r="I58" s="28"/>
      <c r="J58" s="28"/>
      <c r="K58" s="28"/>
      <c r="L58" s="30" t="s">
        <v>1477</v>
      </c>
      <c r="M58" s="19"/>
      <c r="N58" s="19"/>
      <c r="O58" s="19"/>
      <c r="P58" s="19"/>
      <c r="Q58" s="19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7"/>
  <sheetViews>
    <sheetView workbookViewId="0">
      <pane ySplit="1" topLeftCell="A2" activePane="bottomLeft" state="frozen"/>
      <selection pane="bottomLeft" activeCell="F3" sqref="F3:G5"/>
    </sheetView>
  </sheetViews>
  <sheetFormatPr defaultRowHeight="15"/>
  <cols>
    <col min="1" max="1" width="32.85546875" customWidth="1"/>
    <col min="2" max="2" width="12" style="3" customWidth="1"/>
    <col min="3" max="3" width="7.140625" style="1" customWidth="1"/>
    <col min="4" max="4" width="124.28515625" customWidth="1"/>
    <col min="5" max="5" width="9.140625" customWidth="1"/>
    <col min="7" max="7" width="15.7109375" customWidth="1"/>
    <col min="8" max="8" width="9.140625" customWidth="1"/>
  </cols>
  <sheetData>
    <row r="1" spans="1:10" s="18" customFormat="1" ht="15.75" thickBot="1">
      <c r="A1" s="7" t="s">
        <v>34</v>
      </c>
      <c r="B1" s="14" t="s">
        <v>200</v>
      </c>
      <c r="C1" s="14" t="s">
        <v>207</v>
      </c>
      <c r="D1" s="9" t="s">
        <v>118</v>
      </c>
    </row>
    <row r="2" spans="1:10" ht="15.75" thickBot="1">
      <c r="A2" s="10" t="s">
        <v>1443</v>
      </c>
      <c r="B2" s="11">
        <v>60</v>
      </c>
      <c r="C2" s="10" t="s">
        <v>665</v>
      </c>
      <c r="D2" s="10"/>
      <c r="E2" s="10"/>
      <c r="F2" s="23"/>
      <c r="G2" s="23"/>
      <c r="H2" s="10"/>
      <c r="I2" s="19"/>
      <c r="J2" s="19"/>
    </row>
    <row r="3" spans="1:10">
      <c r="A3" s="26" t="s">
        <v>1443</v>
      </c>
      <c r="B3" s="27">
        <v>120</v>
      </c>
      <c r="C3" s="26" t="s">
        <v>665</v>
      </c>
      <c r="D3" s="26"/>
      <c r="E3" s="10"/>
      <c r="F3" s="35"/>
      <c r="G3" s="22" t="s">
        <v>72</v>
      </c>
      <c r="H3" s="10"/>
      <c r="I3" s="19"/>
      <c r="J3" s="19"/>
    </row>
    <row r="4" spans="1:10">
      <c r="A4" s="10" t="s">
        <v>1441</v>
      </c>
      <c r="B4" s="11">
        <v>100</v>
      </c>
      <c r="C4" s="10" t="s">
        <v>665</v>
      </c>
      <c r="D4" s="10"/>
      <c r="E4" s="10"/>
      <c r="F4" s="43"/>
      <c r="G4" s="44" t="s">
        <v>73</v>
      </c>
      <c r="H4" s="10"/>
      <c r="I4" s="19"/>
      <c r="J4" s="19"/>
    </row>
    <row r="5" spans="1:10" ht="15.75" thickBot="1">
      <c r="A5" s="26" t="s">
        <v>1441</v>
      </c>
      <c r="B5" s="27">
        <v>30</v>
      </c>
      <c r="C5" s="26" t="s">
        <v>665</v>
      </c>
      <c r="D5" s="26"/>
      <c r="E5" s="10"/>
      <c r="F5" s="51"/>
      <c r="G5" s="45" t="s">
        <v>929</v>
      </c>
      <c r="H5" s="10"/>
      <c r="I5" s="19"/>
      <c r="J5" s="19"/>
    </row>
    <row r="6" spans="1:10">
      <c r="A6" s="10" t="s">
        <v>2432</v>
      </c>
      <c r="B6" s="11">
        <v>580</v>
      </c>
      <c r="C6" s="10" t="s">
        <v>665</v>
      </c>
      <c r="D6" s="10" t="s">
        <v>2430</v>
      </c>
      <c r="E6" s="10"/>
      <c r="F6" s="10"/>
      <c r="G6" s="10"/>
      <c r="H6" s="10"/>
      <c r="I6" s="19"/>
      <c r="J6" s="19"/>
    </row>
    <row r="7" spans="1:10">
      <c r="A7" s="26" t="s">
        <v>2432</v>
      </c>
      <c r="B7" s="27">
        <v>800</v>
      </c>
      <c r="C7" s="26" t="s">
        <v>665</v>
      </c>
      <c r="D7" s="26" t="s">
        <v>2431</v>
      </c>
      <c r="E7" s="10"/>
      <c r="F7" s="10"/>
      <c r="G7" s="10"/>
      <c r="H7" s="10"/>
      <c r="I7" s="19"/>
      <c r="J7" s="19"/>
    </row>
    <row r="8" spans="1:10">
      <c r="A8" s="10" t="s">
        <v>1693</v>
      </c>
      <c r="B8" s="11">
        <v>200</v>
      </c>
      <c r="C8" s="10" t="s">
        <v>665</v>
      </c>
      <c r="D8" s="10" t="s">
        <v>1694</v>
      </c>
      <c r="E8" s="10"/>
      <c r="F8" s="10"/>
      <c r="G8" s="10"/>
      <c r="H8" s="10"/>
      <c r="I8" s="19"/>
      <c r="J8" s="19"/>
    </row>
    <row r="9" spans="1:10">
      <c r="A9" s="26" t="s">
        <v>1693</v>
      </c>
      <c r="B9" s="27">
        <v>220</v>
      </c>
      <c r="C9" s="26" t="s">
        <v>665</v>
      </c>
      <c r="D9" s="26" t="s">
        <v>1695</v>
      </c>
      <c r="E9" s="10"/>
      <c r="F9" s="10"/>
      <c r="G9" s="10"/>
      <c r="H9" s="10"/>
      <c r="I9" s="19"/>
      <c r="J9" s="19"/>
    </row>
    <row r="10" spans="1:10">
      <c r="A10" s="1" t="s">
        <v>1698</v>
      </c>
      <c r="B10" s="3">
        <v>450</v>
      </c>
      <c r="C10" s="1" t="s">
        <v>665</v>
      </c>
      <c r="D10" s="1" t="s">
        <v>1699</v>
      </c>
      <c r="E10" s="19"/>
      <c r="F10" s="19"/>
      <c r="G10" s="19"/>
      <c r="H10" s="19"/>
      <c r="I10" s="19"/>
      <c r="J10" s="19"/>
    </row>
    <row r="11" spans="1:10">
      <c r="A11" s="26" t="s">
        <v>1698</v>
      </c>
      <c r="B11" s="27">
        <v>450</v>
      </c>
      <c r="C11" s="26" t="s">
        <v>665</v>
      </c>
      <c r="D11" s="26" t="s">
        <v>1701</v>
      </c>
      <c r="E11" s="19"/>
      <c r="F11" s="19"/>
      <c r="G11" s="19"/>
      <c r="H11" s="19"/>
      <c r="I11" s="19"/>
      <c r="J11" s="19"/>
    </row>
    <row r="12" spans="1:10">
      <c r="A12" s="1" t="s">
        <v>2021</v>
      </c>
      <c r="B12" s="3">
        <v>780</v>
      </c>
      <c r="C12" s="1" t="s">
        <v>665</v>
      </c>
      <c r="D12" s="1" t="s">
        <v>2022</v>
      </c>
      <c r="E12" s="19"/>
      <c r="F12" s="19"/>
      <c r="G12" s="19"/>
      <c r="H12" s="19"/>
      <c r="I12" s="19"/>
      <c r="J12" s="19"/>
    </row>
    <row r="13" spans="1:10">
      <c r="A13" s="26" t="s">
        <v>2021</v>
      </c>
      <c r="B13" s="27">
        <v>780</v>
      </c>
      <c r="C13" s="26" t="s">
        <v>665</v>
      </c>
      <c r="D13" s="26" t="s">
        <v>2023</v>
      </c>
      <c r="E13" s="19"/>
      <c r="F13" s="19"/>
      <c r="G13" s="19"/>
      <c r="H13" s="19"/>
      <c r="I13" s="19"/>
      <c r="J13" s="19"/>
    </row>
    <row r="14" spans="1:10">
      <c r="A14" s="1" t="s">
        <v>1942</v>
      </c>
      <c r="B14" s="3">
        <v>780</v>
      </c>
      <c r="C14" s="1" t="s">
        <v>665</v>
      </c>
      <c r="D14" s="1" t="s">
        <v>1943</v>
      </c>
      <c r="E14" s="19"/>
      <c r="F14" s="19"/>
      <c r="G14" s="19"/>
      <c r="H14" s="19"/>
      <c r="I14" s="19"/>
      <c r="J14" s="19"/>
    </row>
    <row r="15" spans="1:10">
      <c r="A15" s="26" t="s">
        <v>1942</v>
      </c>
      <c r="B15" s="27">
        <v>780</v>
      </c>
      <c r="C15" s="26" t="s">
        <v>665</v>
      </c>
      <c r="D15" s="26" t="s">
        <v>1944</v>
      </c>
      <c r="E15" s="19"/>
      <c r="F15" s="19"/>
      <c r="G15" s="19"/>
      <c r="H15" s="19"/>
      <c r="I15" s="19"/>
      <c r="J15" s="19"/>
    </row>
    <row r="16" spans="1:10">
      <c r="A16" s="1" t="s">
        <v>2373</v>
      </c>
      <c r="B16" s="3">
        <v>780</v>
      </c>
      <c r="C16" s="1" t="s">
        <v>665</v>
      </c>
      <c r="D16" s="1" t="s">
        <v>2375</v>
      </c>
      <c r="E16" s="19"/>
      <c r="F16" s="19"/>
      <c r="G16" s="19"/>
      <c r="H16" s="19"/>
      <c r="I16" s="19"/>
      <c r="J16" s="19"/>
    </row>
    <row r="17" spans="1:10">
      <c r="A17" s="26" t="s">
        <v>2373</v>
      </c>
      <c r="B17" s="27">
        <v>780</v>
      </c>
      <c r="C17" s="26" t="s">
        <v>665</v>
      </c>
      <c r="D17" s="26" t="s">
        <v>2374</v>
      </c>
      <c r="E17" s="19"/>
      <c r="F17" s="19"/>
      <c r="G17" s="19"/>
      <c r="H17" s="19"/>
      <c r="I17" s="19"/>
      <c r="J17" s="19"/>
    </row>
    <row r="18" spans="1:10">
      <c r="A18" s="1" t="s">
        <v>2315</v>
      </c>
      <c r="B18" s="3">
        <v>287</v>
      </c>
      <c r="C18" s="1" t="s">
        <v>665</v>
      </c>
      <c r="D18" s="1" t="s">
        <v>2308</v>
      </c>
      <c r="E18" s="19"/>
      <c r="F18" s="19"/>
      <c r="G18" s="19"/>
      <c r="H18" s="19"/>
      <c r="I18" s="19"/>
      <c r="J18" s="19"/>
    </row>
    <row r="19" spans="1:10">
      <c r="A19" s="26" t="s">
        <v>2309</v>
      </c>
      <c r="B19" s="27">
        <v>340</v>
      </c>
      <c r="C19" s="26" t="s">
        <v>665</v>
      </c>
      <c r="D19" s="26" t="s">
        <v>2308</v>
      </c>
      <c r="E19" s="19"/>
      <c r="F19" s="19"/>
      <c r="G19" s="19"/>
      <c r="H19" s="19"/>
      <c r="I19" s="19"/>
      <c r="J19" s="19"/>
    </row>
    <row r="20" spans="1:10">
      <c r="A20" s="1" t="s">
        <v>2317</v>
      </c>
      <c r="B20" s="3">
        <v>850</v>
      </c>
      <c r="C20" s="1" t="s">
        <v>665</v>
      </c>
      <c r="D20" s="1" t="s">
        <v>2310</v>
      </c>
      <c r="E20" s="19"/>
      <c r="F20" s="19"/>
      <c r="G20" s="19"/>
      <c r="H20" s="19"/>
      <c r="I20" s="19"/>
      <c r="J20" s="19"/>
    </row>
    <row r="21" spans="1:10">
      <c r="A21" s="26" t="s">
        <v>2317</v>
      </c>
      <c r="B21" s="27">
        <v>840</v>
      </c>
      <c r="C21" s="26" t="s">
        <v>665</v>
      </c>
      <c r="D21" s="26" t="s">
        <v>2310</v>
      </c>
      <c r="E21" s="19"/>
      <c r="F21" s="19"/>
      <c r="G21" s="19"/>
      <c r="H21" s="19"/>
      <c r="I21" s="19"/>
      <c r="J21" s="19"/>
    </row>
    <row r="22" spans="1:10">
      <c r="A22" s="1" t="s">
        <v>2316</v>
      </c>
      <c r="B22" s="3">
        <v>1787</v>
      </c>
      <c r="C22" s="1" t="s">
        <v>665</v>
      </c>
      <c r="D22" s="1" t="s">
        <v>2311</v>
      </c>
      <c r="E22" s="19"/>
      <c r="F22" s="19"/>
      <c r="G22" s="19"/>
      <c r="H22" s="19"/>
      <c r="I22" s="19"/>
      <c r="J22" s="19"/>
    </row>
    <row r="23" spans="1:10">
      <c r="A23" s="26" t="s">
        <v>2316</v>
      </c>
      <c r="B23" s="27">
        <v>1540</v>
      </c>
      <c r="C23" s="26" t="s">
        <v>665</v>
      </c>
      <c r="D23" s="26" t="s">
        <v>2311</v>
      </c>
      <c r="E23" s="19"/>
      <c r="F23" s="19"/>
      <c r="G23" s="19"/>
      <c r="H23" s="19"/>
      <c r="I23" s="19"/>
      <c r="J23" s="19"/>
    </row>
    <row r="24" spans="1:10">
      <c r="A24" s="1" t="s">
        <v>2313</v>
      </c>
      <c r="B24" s="3">
        <v>3100</v>
      </c>
      <c r="C24" s="1" t="s">
        <v>665</v>
      </c>
      <c r="D24" s="1" t="s">
        <v>2312</v>
      </c>
      <c r="E24" s="19"/>
      <c r="F24" s="19"/>
      <c r="G24" s="19"/>
      <c r="H24" s="19"/>
      <c r="I24" s="19"/>
      <c r="J24" s="19"/>
    </row>
    <row r="25" spans="1:10">
      <c r="A25" s="26" t="s">
        <v>2314</v>
      </c>
      <c r="B25" s="27">
        <v>2590</v>
      </c>
      <c r="C25" s="26" t="s">
        <v>665</v>
      </c>
      <c r="D25" s="26" t="s">
        <v>2312</v>
      </c>
      <c r="E25" s="19"/>
      <c r="F25" s="19"/>
      <c r="G25" s="19"/>
      <c r="H25" s="19"/>
      <c r="I25" s="19"/>
      <c r="J25" s="19"/>
    </row>
    <row r="26" spans="1:10">
      <c r="A26" s="48" t="s">
        <v>1969</v>
      </c>
      <c r="B26" s="50"/>
      <c r="C26" s="48" t="s">
        <v>665</v>
      </c>
      <c r="D26" s="48" t="s">
        <v>2388</v>
      </c>
      <c r="E26" s="10"/>
      <c r="F26" s="10"/>
      <c r="G26" s="10"/>
      <c r="H26" s="10"/>
      <c r="I26" s="19"/>
      <c r="J26" s="19"/>
    </row>
    <row r="27" spans="1:10">
      <c r="A27" s="26" t="s">
        <v>1969</v>
      </c>
      <c r="B27" s="27"/>
      <c r="C27" s="26" t="s">
        <v>665</v>
      </c>
      <c r="D27" s="26" t="s">
        <v>2389</v>
      </c>
      <c r="E27" s="10"/>
      <c r="F27" s="10"/>
      <c r="G27" s="10"/>
      <c r="H27" s="10"/>
      <c r="I27" s="19"/>
      <c r="J27" s="19"/>
    </row>
    <row r="28" spans="1:10">
      <c r="A28" s="48" t="s">
        <v>1968</v>
      </c>
      <c r="B28" s="50"/>
      <c r="C28" s="48" t="s">
        <v>665</v>
      </c>
      <c r="D28" s="48" t="s">
        <v>2334</v>
      </c>
      <c r="E28" s="10"/>
      <c r="F28" s="10"/>
      <c r="G28" s="10"/>
      <c r="H28" s="10"/>
      <c r="I28" s="19"/>
      <c r="J28" s="19"/>
    </row>
    <row r="29" spans="1:10">
      <c r="A29" s="26" t="s">
        <v>1968</v>
      </c>
      <c r="B29" s="27"/>
      <c r="C29" s="26" t="s">
        <v>665</v>
      </c>
      <c r="D29" s="26" t="s">
        <v>2333</v>
      </c>
      <c r="E29" s="10"/>
      <c r="F29" s="10"/>
      <c r="G29" s="10"/>
      <c r="H29" s="10"/>
      <c r="I29" s="19"/>
      <c r="J29" s="19"/>
    </row>
    <row r="30" spans="1:10">
      <c r="A30" s="48" t="s">
        <v>1949</v>
      </c>
      <c r="B30" s="50">
        <v>900</v>
      </c>
      <c r="C30" s="48" t="s">
        <v>665</v>
      </c>
      <c r="D30" s="48" t="s">
        <v>1951</v>
      </c>
      <c r="E30" s="10"/>
      <c r="F30" s="10"/>
      <c r="G30" s="10"/>
      <c r="H30" s="10"/>
      <c r="I30" s="19"/>
      <c r="J30" s="19"/>
    </row>
    <row r="31" spans="1:10">
      <c r="A31" s="26" t="s">
        <v>1949</v>
      </c>
      <c r="B31" s="27">
        <v>325</v>
      </c>
      <c r="C31" s="26" t="s">
        <v>158</v>
      </c>
      <c r="D31" s="26" t="s">
        <v>1952</v>
      </c>
      <c r="E31" s="10"/>
      <c r="F31" s="10"/>
      <c r="G31" s="10"/>
      <c r="H31" s="10"/>
      <c r="I31" s="19"/>
      <c r="J31" s="19"/>
    </row>
    <row r="32" spans="1:10">
      <c r="A32" s="1" t="s">
        <v>78</v>
      </c>
      <c r="B32" s="3">
        <v>217</v>
      </c>
      <c r="C32" s="1" t="s">
        <v>665</v>
      </c>
      <c r="D32" s="1" t="s">
        <v>79</v>
      </c>
      <c r="E32" s="19"/>
      <c r="F32" s="19"/>
      <c r="G32" s="19"/>
      <c r="H32" s="19"/>
      <c r="I32" s="19"/>
      <c r="J32" s="19"/>
    </row>
    <row r="33" spans="1:10">
      <c r="A33" s="26" t="s">
        <v>1904</v>
      </c>
      <c r="B33" s="27">
        <v>75</v>
      </c>
      <c r="C33" s="26" t="s">
        <v>495</v>
      </c>
      <c r="D33" s="26" t="s">
        <v>1908</v>
      </c>
      <c r="E33" s="19"/>
      <c r="F33" s="19"/>
      <c r="G33" s="19"/>
      <c r="H33" s="19"/>
      <c r="I33" s="19"/>
      <c r="J33" s="19"/>
    </row>
    <row r="34" spans="1:10">
      <c r="A34" s="40" t="s">
        <v>1905</v>
      </c>
      <c r="B34" s="42">
        <v>135</v>
      </c>
      <c r="C34" s="40" t="s">
        <v>495</v>
      </c>
      <c r="D34" s="40" t="s">
        <v>1909</v>
      </c>
      <c r="E34" s="19"/>
      <c r="F34" s="19"/>
      <c r="G34" s="19"/>
      <c r="H34" s="19"/>
      <c r="I34" s="19"/>
      <c r="J34" s="19"/>
    </row>
    <row r="35" spans="1:10">
      <c r="A35" s="40" t="s">
        <v>1906</v>
      </c>
      <c r="B35" s="42">
        <v>255</v>
      </c>
      <c r="C35" s="40" t="s">
        <v>495</v>
      </c>
      <c r="D35" s="40" t="s">
        <v>1581</v>
      </c>
      <c r="E35" s="19"/>
      <c r="F35" s="19"/>
      <c r="G35" s="19"/>
      <c r="H35" s="19"/>
      <c r="I35" s="19"/>
      <c r="J35" s="19"/>
    </row>
    <row r="36" spans="1:10">
      <c r="A36" s="40" t="s">
        <v>1907</v>
      </c>
      <c r="B36" s="42">
        <v>375</v>
      </c>
      <c r="C36" s="40" t="s">
        <v>495</v>
      </c>
      <c r="D36" s="40" t="s">
        <v>1891</v>
      </c>
      <c r="E36" s="10"/>
      <c r="F36" s="19"/>
      <c r="G36" s="19"/>
      <c r="H36" s="19"/>
      <c r="I36" s="19"/>
      <c r="J36" s="19"/>
    </row>
    <row r="37" spans="1:10" s="1" customFormat="1">
      <c r="A37" s="40" t="s">
        <v>93</v>
      </c>
      <c r="B37" s="42">
        <v>280</v>
      </c>
      <c r="C37" s="40" t="s">
        <v>158</v>
      </c>
      <c r="D37" s="40" t="s">
        <v>2193</v>
      </c>
      <c r="E37" s="10"/>
      <c r="F37" s="10"/>
      <c r="G37" s="10"/>
      <c r="H37" s="10"/>
      <c r="I37" s="10"/>
      <c r="J37" s="10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08"/>
  <sheetViews>
    <sheetView workbookViewId="0">
      <pane ySplit="1" topLeftCell="A2" activePane="bottomLeft" state="frozen"/>
      <selection pane="bottomLeft" activeCell="F3" sqref="F3:G5"/>
    </sheetView>
  </sheetViews>
  <sheetFormatPr defaultRowHeight="15"/>
  <cols>
    <col min="1" max="1" width="32.85546875" customWidth="1"/>
    <col min="2" max="2" width="12" style="3" customWidth="1"/>
    <col min="3" max="3" width="7.140625" style="1" customWidth="1"/>
    <col min="4" max="4" width="90" customWidth="1"/>
    <col min="5" max="5" width="9.140625" customWidth="1"/>
    <col min="7" max="7" width="15.7109375" customWidth="1"/>
    <col min="8" max="8" width="9.140625" customWidth="1"/>
  </cols>
  <sheetData>
    <row r="1" spans="1:10" s="18" customFormat="1" ht="15.75" thickBot="1">
      <c r="A1" s="7" t="s">
        <v>34</v>
      </c>
      <c r="B1" s="14" t="s">
        <v>200</v>
      </c>
      <c r="C1" s="14" t="s">
        <v>207</v>
      </c>
      <c r="D1" s="9" t="s">
        <v>118</v>
      </c>
    </row>
    <row r="2" spans="1:10" s="1" customFormat="1" ht="15.75" thickBot="1">
      <c r="A2" s="1" t="s">
        <v>742</v>
      </c>
      <c r="B2" s="3">
        <v>80</v>
      </c>
      <c r="C2" s="1" t="s">
        <v>153</v>
      </c>
      <c r="D2" s="1" t="s">
        <v>2377</v>
      </c>
    </row>
    <row r="3" spans="1:10" s="1" customFormat="1">
      <c r="A3" s="26" t="s">
        <v>742</v>
      </c>
      <c r="B3" s="27">
        <v>80</v>
      </c>
      <c r="C3" s="26" t="s">
        <v>153</v>
      </c>
      <c r="D3" s="26" t="s">
        <v>2382</v>
      </c>
      <c r="F3" s="35"/>
      <c r="G3" s="22" t="s">
        <v>72</v>
      </c>
    </row>
    <row r="4" spans="1:10" s="1" customFormat="1">
      <c r="A4" s="1" t="s">
        <v>2342</v>
      </c>
      <c r="B4" s="3">
        <v>80</v>
      </c>
      <c r="C4" s="1" t="s">
        <v>153</v>
      </c>
      <c r="D4" s="1" t="s">
        <v>2378</v>
      </c>
      <c r="F4" s="43"/>
      <c r="G4" s="44" t="s">
        <v>73</v>
      </c>
    </row>
    <row r="5" spans="1:10" s="1" customFormat="1" ht="15.75" thickBot="1">
      <c r="A5" s="26" t="s">
        <v>2343</v>
      </c>
      <c r="B5" s="27">
        <v>75</v>
      </c>
      <c r="C5" s="26" t="s">
        <v>153</v>
      </c>
      <c r="D5" s="26" t="s">
        <v>2383</v>
      </c>
      <c r="E5" s="10"/>
      <c r="F5" s="51"/>
      <c r="G5" s="45" t="s">
        <v>929</v>
      </c>
      <c r="H5" s="10"/>
      <c r="I5" s="10"/>
      <c r="J5" s="10"/>
    </row>
    <row r="6" spans="1:10" s="1" customFormat="1">
      <c r="A6" s="1" t="s">
        <v>743</v>
      </c>
      <c r="B6" s="3">
        <v>50</v>
      </c>
      <c r="C6" s="1" t="s">
        <v>153</v>
      </c>
      <c r="D6" s="1" t="s">
        <v>2379</v>
      </c>
    </row>
    <row r="7" spans="1:10" s="1" customFormat="1">
      <c r="A7" s="26" t="s">
        <v>743</v>
      </c>
      <c r="B7" s="27">
        <v>50</v>
      </c>
      <c r="C7" s="26" t="s">
        <v>153</v>
      </c>
      <c r="D7" s="26" t="s">
        <v>2384</v>
      </c>
    </row>
    <row r="8" spans="1:10" s="1" customFormat="1">
      <c r="A8" s="1" t="s">
        <v>2344</v>
      </c>
      <c r="B8" s="3">
        <v>40</v>
      </c>
      <c r="C8" s="1" t="s">
        <v>153</v>
      </c>
      <c r="D8" s="1" t="s">
        <v>2380</v>
      </c>
    </row>
    <row r="9" spans="1:10" s="1" customFormat="1">
      <c r="A9" s="26" t="s">
        <v>2344</v>
      </c>
      <c r="B9" s="27">
        <v>40</v>
      </c>
      <c r="C9" s="26" t="s">
        <v>153</v>
      </c>
      <c r="D9" s="26" t="s">
        <v>2385</v>
      </c>
      <c r="E9" s="10"/>
      <c r="H9" s="10"/>
      <c r="I9" s="10"/>
      <c r="J9" s="10"/>
    </row>
    <row r="10" spans="1:10" s="1" customFormat="1">
      <c r="A10" s="1" t="s">
        <v>744</v>
      </c>
      <c r="B10" s="3">
        <v>20</v>
      </c>
      <c r="C10" s="1" t="s">
        <v>153</v>
      </c>
      <c r="D10" s="1" t="s">
        <v>2381</v>
      </c>
    </row>
    <row r="11" spans="1:10" s="1" customFormat="1">
      <c r="A11" s="26" t="s">
        <v>744</v>
      </c>
      <c r="B11" s="27">
        <v>15</v>
      </c>
      <c r="C11" s="26" t="s">
        <v>153</v>
      </c>
      <c r="D11" s="26" t="s">
        <v>2386</v>
      </c>
      <c r="E11" s="10"/>
      <c r="H11" s="10"/>
      <c r="I11" s="10"/>
      <c r="J11" s="10"/>
    </row>
    <row r="12" spans="1:10" s="1" customFormat="1">
      <c r="A12" s="1" t="s">
        <v>1196</v>
      </c>
      <c r="B12" s="3">
        <v>15</v>
      </c>
      <c r="C12" s="1" t="s">
        <v>153</v>
      </c>
      <c r="D12" s="1" t="s">
        <v>1166</v>
      </c>
    </row>
    <row r="13" spans="1:10" s="1" customFormat="1">
      <c r="A13" s="26" t="s">
        <v>1201</v>
      </c>
      <c r="B13" s="27">
        <v>20</v>
      </c>
      <c r="C13" s="26" t="s">
        <v>153</v>
      </c>
      <c r="D13" s="26" t="s">
        <v>941</v>
      </c>
      <c r="E13" s="10"/>
      <c r="F13" s="10"/>
      <c r="G13" s="10"/>
    </row>
    <row r="14" spans="1:10" s="1" customFormat="1">
      <c r="A14" s="1" t="s">
        <v>1198</v>
      </c>
      <c r="B14" s="3">
        <v>20</v>
      </c>
      <c r="C14" s="1" t="s">
        <v>153</v>
      </c>
      <c r="D14" s="1" t="s">
        <v>1197</v>
      </c>
    </row>
    <row r="15" spans="1:10" s="1" customFormat="1">
      <c r="A15" s="26" t="s">
        <v>1199</v>
      </c>
      <c r="B15" s="27">
        <v>25</v>
      </c>
      <c r="C15" s="26" t="s">
        <v>153</v>
      </c>
      <c r="D15" s="26" t="s">
        <v>2144</v>
      </c>
    </row>
    <row r="16" spans="1:10" s="1" customFormat="1">
      <c r="A16" s="1" t="s">
        <v>1194</v>
      </c>
      <c r="B16" s="3">
        <v>15</v>
      </c>
      <c r="C16" s="1" t="s">
        <v>153</v>
      </c>
      <c r="D16" s="1" t="s">
        <v>1192</v>
      </c>
    </row>
    <row r="17" spans="1:10" s="1" customFormat="1">
      <c r="A17" s="26" t="s">
        <v>1191</v>
      </c>
      <c r="B17" s="27">
        <v>20</v>
      </c>
      <c r="C17" s="26" t="s">
        <v>153</v>
      </c>
      <c r="D17" s="26" t="s">
        <v>2145</v>
      </c>
    </row>
    <row r="18" spans="1:10" s="1" customFormat="1">
      <c r="A18" s="1" t="s">
        <v>917</v>
      </c>
      <c r="B18" s="3">
        <v>80</v>
      </c>
      <c r="C18" s="1" t="s">
        <v>153</v>
      </c>
      <c r="D18" s="1" t="s">
        <v>1189</v>
      </c>
    </row>
    <row r="19" spans="1:10" s="1" customFormat="1">
      <c r="A19" s="26" t="s">
        <v>1200</v>
      </c>
      <c r="B19" s="27">
        <v>100</v>
      </c>
      <c r="C19" s="26" t="s">
        <v>458</v>
      </c>
      <c r="D19" s="26" t="s">
        <v>2146</v>
      </c>
    </row>
    <row r="20" spans="1:10" s="1" customFormat="1">
      <c r="A20" s="1" t="s">
        <v>1195</v>
      </c>
      <c r="B20" s="3">
        <v>40</v>
      </c>
      <c r="C20" s="1" t="s">
        <v>153</v>
      </c>
      <c r="D20" s="1" t="s">
        <v>1190</v>
      </c>
    </row>
    <row r="21" spans="1:10" s="1" customFormat="1">
      <c r="A21" s="26" t="s">
        <v>1186</v>
      </c>
      <c r="B21" s="27">
        <v>80</v>
      </c>
      <c r="C21" s="26" t="s">
        <v>458</v>
      </c>
      <c r="D21" s="26" t="s">
        <v>2147</v>
      </c>
    </row>
    <row r="22" spans="1:10" s="1" customFormat="1">
      <c r="A22" s="1" t="s">
        <v>1187</v>
      </c>
      <c r="B22" s="3">
        <v>150</v>
      </c>
      <c r="C22" s="1" t="s">
        <v>153</v>
      </c>
      <c r="D22" s="1" t="s">
        <v>1188</v>
      </c>
    </row>
    <row r="23" spans="1:10" s="1" customFormat="1">
      <c r="A23" s="26" t="s">
        <v>1187</v>
      </c>
      <c r="B23" s="27">
        <v>250</v>
      </c>
      <c r="C23" s="26" t="s">
        <v>332</v>
      </c>
      <c r="D23" s="26" t="s">
        <v>2148</v>
      </c>
    </row>
    <row r="24" spans="1:10">
      <c r="A24" s="10" t="s">
        <v>1510</v>
      </c>
      <c r="B24" s="11">
        <v>80</v>
      </c>
      <c r="C24" s="10" t="s">
        <v>495</v>
      </c>
      <c r="D24" s="10" t="s">
        <v>1594</v>
      </c>
      <c r="E24" s="10"/>
      <c r="F24" s="10"/>
      <c r="G24" s="10"/>
      <c r="H24" s="10"/>
      <c r="I24" s="19"/>
      <c r="J24" s="19"/>
    </row>
    <row r="25" spans="1:10">
      <c r="A25" s="26" t="s">
        <v>1510</v>
      </c>
      <c r="B25" s="27">
        <v>25</v>
      </c>
      <c r="C25" s="26" t="s">
        <v>158</v>
      </c>
      <c r="D25" s="26" t="s">
        <v>1594</v>
      </c>
      <c r="E25" s="10"/>
      <c r="F25" s="10"/>
      <c r="G25" s="10"/>
      <c r="H25" s="10"/>
      <c r="I25" s="19"/>
      <c r="J25" s="19"/>
    </row>
    <row r="26" spans="1:10" s="1" customFormat="1">
      <c r="A26" s="1" t="s">
        <v>1429</v>
      </c>
      <c r="B26" s="3">
        <v>35</v>
      </c>
      <c r="C26" s="1" t="s">
        <v>158</v>
      </c>
      <c r="D26" s="1" t="s">
        <v>2001</v>
      </c>
    </row>
    <row r="27" spans="1:10" s="1" customFormat="1">
      <c r="A27" s="26" t="s">
        <v>1429</v>
      </c>
      <c r="B27" s="27">
        <v>20</v>
      </c>
      <c r="C27" s="26" t="s">
        <v>158</v>
      </c>
      <c r="D27" s="26" t="s">
        <v>2001</v>
      </c>
    </row>
    <row r="28" spans="1:10" s="1" customFormat="1">
      <c r="A28" s="1" t="s">
        <v>1423</v>
      </c>
      <c r="B28" s="3">
        <v>60</v>
      </c>
      <c r="C28" s="1" t="s">
        <v>158</v>
      </c>
      <c r="D28" s="1" t="s">
        <v>1193</v>
      </c>
    </row>
    <row r="29" spans="1:10" s="1" customFormat="1">
      <c r="A29" s="26" t="s">
        <v>1025</v>
      </c>
      <c r="B29" s="27">
        <v>25</v>
      </c>
      <c r="C29" s="26" t="s">
        <v>158</v>
      </c>
      <c r="D29" s="26" t="s">
        <v>1193</v>
      </c>
    </row>
    <row r="30" spans="1:10" s="1" customFormat="1">
      <c r="A30" s="1" t="s">
        <v>1167</v>
      </c>
      <c r="B30" s="3">
        <v>40</v>
      </c>
      <c r="C30" s="1" t="s">
        <v>158</v>
      </c>
      <c r="D30" s="1" t="s">
        <v>940</v>
      </c>
    </row>
    <row r="31" spans="1:10" s="1" customFormat="1">
      <c r="A31" s="26" t="s">
        <v>1167</v>
      </c>
      <c r="B31" s="27">
        <v>35</v>
      </c>
      <c r="C31" s="26" t="s">
        <v>158</v>
      </c>
      <c r="D31" s="26" t="s">
        <v>941</v>
      </c>
    </row>
    <row r="32" spans="1:10" s="1" customFormat="1">
      <c r="A32" s="1" t="s">
        <v>119</v>
      </c>
      <c r="B32" s="3">
        <v>45</v>
      </c>
      <c r="C32" s="1" t="s">
        <v>158</v>
      </c>
      <c r="D32" s="1" t="s">
        <v>2340</v>
      </c>
      <c r="E32" s="10"/>
      <c r="F32" s="10"/>
      <c r="G32" s="10"/>
      <c r="H32" s="10"/>
    </row>
    <row r="33" spans="1:9" s="1" customFormat="1">
      <c r="A33" s="26" t="s">
        <v>119</v>
      </c>
      <c r="B33" s="27">
        <v>100</v>
      </c>
      <c r="C33" s="26" t="s">
        <v>158</v>
      </c>
      <c r="D33" s="26" t="s">
        <v>2341</v>
      </c>
      <c r="E33" s="10"/>
      <c r="F33" s="10"/>
      <c r="G33" s="10"/>
      <c r="H33" s="10"/>
    </row>
    <row r="34" spans="1:9" s="1" customFormat="1">
      <c r="A34" s="1" t="s">
        <v>1168</v>
      </c>
      <c r="B34" s="3">
        <v>80</v>
      </c>
      <c r="C34" s="1" t="s">
        <v>495</v>
      </c>
      <c r="D34" s="1" t="s">
        <v>1587</v>
      </c>
      <c r="E34" s="10"/>
      <c r="F34" s="10"/>
      <c r="G34" s="10"/>
      <c r="H34" s="10"/>
    </row>
    <row r="35" spans="1:9" s="1" customFormat="1">
      <c r="A35" s="26" t="s">
        <v>1169</v>
      </c>
      <c r="B35" s="27">
        <v>125</v>
      </c>
      <c r="C35" s="26" t="s">
        <v>153</v>
      </c>
      <c r="D35" s="26" t="s">
        <v>1588</v>
      </c>
      <c r="E35" s="10"/>
      <c r="F35" s="10"/>
      <c r="G35" s="10"/>
      <c r="H35" s="10"/>
    </row>
    <row r="36" spans="1:9" s="1" customFormat="1">
      <c r="A36" s="1" t="s">
        <v>1169</v>
      </c>
      <c r="B36" s="3">
        <v>20</v>
      </c>
      <c r="C36" s="1" t="s">
        <v>153</v>
      </c>
      <c r="D36" s="1" t="s">
        <v>1589</v>
      </c>
    </row>
    <row r="37" spans="1:9" s="1" customFormat="1">
      <c r="A37" s="26" t="s">
        <v>1168</v>
      </c>
      <c r="B37" s="27">
        <v>275</v>
      </c>
      <c r="C37" s="26" t="s">
        <v>458</v>
      </c>
      <c r="D37" s="26" t="s">
        <v>1595</v>
      </c>
    </row>
    <row r="38" spans="1:9" s="1" customFormat="1">
      <c r="A38" s="1" t="s">
        <v>1181</v>
      </c>
      <c r="B38" s="3">
        <v>80</v>
      </c>
      <c r="C38" s="1" t="s">
        <v>158</v>
      </c>
      <c r="D38" s="1" t="s">
        <v>1183</v>
      </c>
    </row>
    <row r="39" spans="1:9" s="1" customFormat="1">
      <c r="A39" s="26" t="s">
        <v>1564</v>
      </c>
      <c r="B39" s="27">
        <v>250</v>
      </c>
      <c r="C39" s="26" t="s">
        <v>458</v>
      </c>
      <c r="D39" s="26" t="s">
        <v>1182</v>
      </c>
    </row>
    <row r="40" spans="1:9" s="1" customFormat="1">
      <c r="A40" s="1" t="s">
        <v>1184</v>
      </c>
      <c r="B40" s="3">
        <v>1000</v>
      </c>
      <c r="C40" s="1" t="s">
        <v>332</v>
      </c>
      <c r="D40" s="1" t="s">
        <v>1185</v>
      </c>
    </row>
    <row r="41" spans="1:9" s="1" customFormat="1">
      <c r="A41" s="26" t="s">
        <v>1184</v>
      </c>
      <c r="B41" s="27">
        <v>750</v>
      </c>
      <c r="C41" s="26" t="s">
        <v>332</v>
      </c>
      <c r="D41" s="26" t="s">
        <v>1185</v>
      </c>
    </row>
    <row r="42" spans="1:9" s="1" customFormat="1">
      <c r="A42" s="10" t="s">
        <v>712</v>
      </c>
      <c r="B42" s="11">
        <v>20</v>
      </c>
      <c r="C42" s="10" t="s">
        <v>153</v>
      </c>
      <c r="D42" s="10" t="s">
        <v>1575</v>
      </c>
      <c r="E42" s="10"/>
      <c r="F42" s="10"/>
      <c r="G42" s="10"/>
      <c r="H42" s="10"/>
      <c r="I42" s="10"/>
    </row>
    <row r="43" spans="1:9" s="1" customFormat="1">
      <c r="A43" s="26" t="s">
        <v>712</v>
      </c>
      <c r="B43" s="27">
        <v>120</v>
      </c>
      <c r="C43" s="26" t="s">
        <v>153</v>
      </c>
      <c r="D43" s="26" t="s">
        <v>1573</v>
      </c>
      <c r="E43" s="10"/>
      <c r="F43" s="10"/>
      <c r="G43" s="10"/>
      <c r="H43" s="10"/>
      <c r="I43" s="10"/>
    </row>
    <row r="44" spans="1:9" s="1" customFormat="1">
      <c r="A44" s="1" t="s">
        <v>1176</v>
      </c>
      <c r="B44" s="3">
        <v>20</v>
      </c>
      <c r="C44" s="1" t="s">
        <v>153</v>
      </c>
      <c r="D44" s="1" t="s">
        <v>1574</v>
      </c>
      <c r="E44" s="10"/>
      <c r="F44" s="10"/>
      <c r="G44" s="10"/>
      <c r="H44" s="10"/>
    </row>
    <row r="45" spans="1:9" s="1" customFormat="1">
      <c r="A45" s="26" t="s">
        <v>1176</v>
      </c>
      <c r="B45" s="27">
        <v>50</v>
      </c>
      <c r="C45" s="26" t="s">
        <v>158</v>
      </c>
      <c r="D45" s="26" t="s">
        <v>1574</v>
      </c>
      <c r="E45" s="10"/>
      <c r="F45" s="10"/>
      <c r="G45" s="10"/>
      <c r="H45" s="10"/>
    </row>
    <row r="46" spans="1:9" s="1" customFormat="1">
      <c r="A46" s="1" t="s">
        <v>1703</v>
      </c>
      <c r="B46" s="3">
        <v>20</v>
      </c>
      <c r="C46" s="1" t="s">
        <v>153</v>
      </c>
      <c r="D46" s="1" t="s">
        <v>1713</v>
      </c>
      <c r="E46" s="10"/>
      <c r="F46" s="10"/>
      <c r="G46" s="10"/>
      <c r="H46" s="10"/>
    </row>
    <row r="47" spans="1:9" s="1" customFormat="1">
      <c r="A47" s="26" t="s">
        <v>1703</v>
      </c>
      <c r="B47" s="27">
        <v>360</v>
      </c>
      <c r="C47" s="26" t="s">
        <v>153</v>
      </c>
      <c r="D47" s="26" t="s">
        <v>1713</v>
      </c>
      <c r="E47" s="10"/>
      <c r="F47" s="10"/>
      <c r="G47" s="10"/>
      <c r="H47" s="10"/>
    </row>
    <row r="48" spans="1:9" s="1" customFormat="1">
      <c r="A48" s="1" t="s">
        <v>1179</v>
      </c>
      <c r="B48" s="3">
        <v>40</v>
      </c>
      <c r="C48" s="1" t="s">
        <v>157</v>
      </c>
      <c r="D48" s="1" t="s">
        <v>2177</v>
      </c>
    </row>
    <row r="49" spans="1:9" s="1" customFormat="1">
      <c r="A49" s="26" t="s">
        <v>1179</v>
      </c>
      <c r="B49" s="27">
        <v>66</v>
      </c>
      <c r="C49" s="26" t="s">
        <v>154</v>
      </c>
      <c r="D49" s="26" t="s">
        <v>1180</v>
      </c>
    </row>
    <row r="50" spans="1:9" s="1" customFormat="1">
      <c r="A50" s="1" t="s">
        <v>944</v>
      </c>
      <c r="B50" s="3">
        <v>20</v>
      </c>
      <c r="C50" s="1" t="s">
        <v>153</v>
      </c>
      <c r="D50" s="1" t="s">
        <v>2178</v>
      </c>
    </row>
    <row r="51" spans="1:9" s="1" customFormat="1">
      <c r="A51" s="26" t="s">
        <v>944</v>
      </c>
      <c r="B51" s="27">
        <v>80</v>
      </c>
      <c r="C51" s="26" t="s">
        <v>161</v>
      </c>
      <c r="D51" s="26" t="s">
        <v>945</v>
      </c>
    </row>
    <row r="52" spans="1:9" s="1" customFormat="1">
      <c r="A52" s="1" t="s">
        <v>1177</v>
      </c>
      <c r="B52" s="3">
        <v>25</v>
      </c>
      <c r="C52" s="1" t="s">
        <v>153</v>
      </c>
      <c r="D52" s="1" t="s">
        <v>1178</v>
      </c>
    </row>
    <row r="53" spans="1:9" s="1" customFormat="1">
      <c r="A53" s="26" t="s">
        <v>1177</v>
      </c>
      <c r="B53" s="27">
        <v>100</v>
      </c>
      <c r="C53" s="26" t="s">
        <v>158</v>
      </c>
      <c r="D53" s="26" t="s">
        <v>1178</v>
      </c>
    </row>
    <row r="54" spans="1:9" s="1" customFormat="1">
      <c r="A54" s="1" t="s">
        <v>122</v>
      </c>
      <c r="B54" s="3">
        <v>80</v>
      </c>
      <c r="C54" s="1" t="s">
        <v>153</v>
      </c>
      <c r="D54" s="1" t="s">
        <v>123</v>
      </c>
    </row>
    <row r="55" spans="1:9" s="1" customFormat="1">
      <c r="A55" s="26" t="s">
        <v>937</v>
      </c>
      <c r="B55" s="27">
        <v>20</v>
      </c>
      <c r="C55" s="26" t="s">
        <v>153</v>
      </c>
      <c r="D55" s="26" t="s">
        <v>124</v>
      </c>
    </row>
    <row r="56" spans="1:9" s="1" customFormat="1">
      <c r="A56" s="1" t="s">
        <v>1027</v>
      </c>
      <c r="B56" s="3">
        <v>50</v>
      </c>
      <c r="C56" s="1" t="s">
        <v>153</v>
      </c>
      <c r="D56" s="1" t="s">
        <v>1022</v>
      </c>
    </row>
    <row r="57" spans="1:9" s="1" customFormat="1">
      <c r="A57" s="26" t="s">
        <v>1021</v>
      </c>
      <c r="B57" s="27">
        <v>40</v>
      </c>
      <c r="C57" s="26" t="s">
        <v>153</v>
      </c>
      <c r="D57" s="26" t="s">
        <v>1022</v>
      </c>
    </row>
    <row r="58" spans="1:9" s="1" customFormat="1">
      <c r="A58" s="1" t="s">
        <v>1019</v>
      </c>
      <c r="B58" s="3">
        <v>50</v>
      </c>
      <c r="C58" s="1" t="s">
        <v>332</v>
      </c>
      <c r="D58" s="1" t="s">
        <v>1020</v>
      </c>
      <c r="E58" s="10"/>
      <c r="F58" s="10"/>
      <c r="G58" s="10"/>
      <c r="H58" s="10"/>
      <c r="I58" s="10"/>
    </row>
    <row r="59" spans="1:9" s="1" customFormat="1">
      <c r="A59" s="26" t="s">
        <v>1272</v>
      </c>
      <c r="B59" s="27">
        <v>60</v>
      </c>
      <c r="C59" s="26" t="s">
        <v>153</v>
      </c>
      <c r="D59" s="26" t="s">
        <v>1020</v>
      </c>
      <c r="E59" s="10"/>
      <c r="F59" s="10"/>
      <c r="G59" s="10"/>
      <c r="H59" s="10"/>
      <c r="I59" s="10"/>
    </row>
    <row r="60" spans="1:9" s="1" customFormat="1">
      <c r="A60" s="1" t="s">
        <v>1028</v>
      </c>
      <c r="B60" s="3">
        <v>60</v>
      </c>
      <c r="C60" s="1" t="s">
        <v>153</v>
      </c>
      <c r="D60" s="1" t="s">
        <v>745</v>
      </c>
    </row>
    <row r="61" spans="1:9" s="1" customFormat="1">
      <c r="A61" s="26" t="s">
        <v>746</v>
      </c>
      <c r="B61" s="27">
        <v>90</v>
      </c>
      <c r="C61" s="26" t="s">
        <v>153</v>
      </c>
      <c r="D61" s="26" t="s">
        <v>2410</v>
      </c>
    </row>
    <row r="62" spans="1:9" s="1" customFormat="1">
      <c r="A62" s="1" t="s">
        <v>1023</v>
      </c>
      <c r="B62" s="3">
        <v>70</v>
      </c>
      <c r="C62" s="1" t="s">
        <v>153</v>
      </c>
      <c r="D62" s="1" t="s">
        <v>1995</v>
      </c>
    </row>
    <row r="63" spans="1:9" s="1" customFormat="1">
      <c r="A63" s="26" t="s">
        <v>1023</v>
      </c>
      <c r="B63" s="27">
        <v>120</v>
      </c>
      <c r="C63" s="26" t="s">
        <v>458</v>
      </c>
      <c r="D63" s="26" t="s">
        <v>1995</v>
      </c>
    </row>
    <row r="64" spans="1:9" s="1" customFormat="1">
      <c r="A64" s="1" t="s">
        <v>1024</v>
      </c>
      <c r="B64" s="3">
        <v>90</v>
      </c>
      <c r="C64" s="1" t="s">
        <v>153</v>
      </c>
      <c r="D64" s="1" t="s">
        <v>1586</v>
      </c>
    </row>
    <row r="65" spans="1:10" s="1" customFormat="1">
      <c r="A65" s="26" t="s">
        <v>1024</v>
      </c>
      <c r="B65" s="27">
        <v>140</v>
      </c>
      <c r="C65" s="26" t="s">
        <v>458</v>
      </c>
      <c r="D65" s="26" t="s">
        <v>1586</v>
      </c>
    </row>
    <row r="66" spans="1:10" s="1" customFormat="1">
      <c r="A66" s="1" t="s">
        <v>1584</v>
      </c>
      <c r="B66" s="3">
        <v>20</v>
      </c>
      <c r="C66" s="1" t="s">
        <v>153</v>
      </c>
      <c r="D66" s="1" t="s">
        <v>1996</v>
      </c>
    </row>
    <row r="67" spans="1:10" s="1" customFormat="1">
      <c r="A67" s="26" t="s">
        <v>1584</v>
      </c>
      <c r="B67" s="27">
        <v>100</v>
      </c>
      <c r="C67" s="26" t="s">
        <v>153</v>
      </c>
      <c r="D67" s="26" t="s">
        <v>1996</v>
      </c>
    </row>
    <row r="68" spans="1:10" s="1" customFormat="1">
      <c r="A68" s="1" t="s">
        <v>1371</v>
      </c>
      <c r="B68" s="3">
        <v>20</v>
      </c>
      <c r="C68" s="1" t="s">
        <v>153</v>
      </c>
      <c r="D68" s="1" t="s">
        <v>1997</v>
      </c>
    </row>
    <row r="69" spans="1:10" s="1" customFormat="1">
      <c r="A69" s="26" t="s">
        <v>1371</v>
      </c>
      <c r="B69" s="27">
        <v>120</v>
      </c>
      <c r="C69" s="26" t="s">
        <v>153</v>
      </c>
      <c r="D69" s="26" t="s">
        <v>1997</v>
      </c>
    </row>
    <row r="70" spans="1:10" s="1" customFormat="1">
      <c r="A70" s="1" t="s">
        <v>1025</v>
      </c>
      <c r="B70" s="3">
        <v>150</v>
      </c>
      <c r="C70" s="1" t="s">
        <v>153</v>
      </c>
      <c r="D70" s="1" t="s">
        <v>1026</v>
      </c>
    </row>
    <row r="71" spans="1:10" s="1" customFormat="1">
      <c r="A71" s="26" t="s">
        <v>1565</v>
      </c>
      <c r="B71" s="27">
        <v>400</v>
      </c>
      <c r="C71" s="26" t="s">
        <v>332</v>
      </c>
      <c r="D71" s="26" t="s">
        <v>1026</v>
      </c>
    </row>
    <row r="72" spans="1:10" s="1" customFormat="1">
      <c r="A72" s="1" t="s">
        <v>1983</v>
      </c>
      <c r="B72" s="3">
        <v>70</v>
      </c>
      <c r="C72" s="1" t="s">
        <v>153</v>
      </c>
      <c r="D72" s="1" t="s">
        <v>1585</v>
      </c>
    </row>
    <row r="73" spans="1:10" s="1" customFormat="1">
      <c r="A73" s="26" t="s">
        <v>1983</v>
      </c>
      <c r="B73" s="27">
        <v>400</v>
      </c>
      <c r="C73" s="26" t="s">
        <v>458</v>
      </c>
      <c r="D73" s="26" t="s">
        <v>1026</v>
      </c>
    </row>
    <row r="74" spans="1:10" s="1" customFormat="1">
      <c r="A74" s="1" t="s">
        <v>1583</v>
      </c>
      <c r="B74" s="3">
        <v>500</v>
      </c>
      <c r="C74" s="1" t="s">
        <v>153</v>
      </c>
      <c r="D74" s="1" t="s">
        <v>1592</v>
      </c>
    </row>
    <row r="75" spans="1:10" s="1" customFormat="1">
      <c r="A75" s="26" t="s">
        <v>2345</v>
      </c>
      <c r="B75" s="27">
        <v>800</v>
      </c>
      <c r="C75" s="26" t="s">
        <v>332</v>
      </c>
      <c r="D75" s="48" t="s">
        <v>1593</v>
      </c>
    </row>
    <row r="76" spans="1:10">
      <c r="A76" s="10" t="s">
        <v>1512</v>
      </c>
      <c r="B76" s="11">
        <v>5</v>
      </c>
      <c r="C76" s="10" t="s">
        <v>161</v>
      </c>
      <c r="D76" s="10" t="s">
        <v>1936</v>
      </c>
      <c r="E76" s="10"/>
      <c r="F76" s="10"/>
      <c r="G76" s="10"/>
      <c r="H76" s="10"/>
      <c r="I76" s="19"/>
      <c r="J76" s="19"/>
    </row>
    <row r="77" spans="1:10">
      <c r="A77" s="26" t="s">
        <v>1512</v>
      </c>
      <c r="B77" s="27">
        <v>10</v>
      </c>
      <c r="C77" s="26" t="s">
        <v>332</v>
      </c>
      <c r="D77" s="26" t="s">
        <v>1937</v>
      </c>
      <c r="E77" s="10"/>
      <c r="F77" s="10"/>
      <c r="G77" s="10"/>
      <c r="H77" s="10"/>
      <c r="I77" s="19"/>
      <c r="J77" s="19"/>
    </row>
    <row r="78" spans="1:10">
      <c r="A78" s="10" t="s">
        <v>1931</v>
      </c>
      <c r="B78" s="11">
        <v>10</v>
      </c>
      <c r="C78" s="10" t="s">
        <v>495</v>
      </c>
      <c r="D78" s="10" t="s">
        <v>1938</v>
      </c>
      <c r="E78" s="10"/>
      <c r="F78" s="10"/>
      <c r="G78" s="10"/>
      <c r="H78" s="10"/>
      <c r="I78" s="19"/>
      <c r="J78" s="19"/>
    </row>
    <row r="79" spans="1:10">
      <c r="A79" s="26" t="s">
        <v>1456</v>
      </c>
      <c r="B79" s="27">
        <v>15</v>
      </c>
      <c r="C79" s="26" t="s">
        <v>161</v>
      </c>
      <c r="D79" s="26" t="s">
        <v>1939</v>
      </c>
      <c r="E79" s="10"/>
      <c r="F79" s="10"/>
      <c r="G79" s="10"/>
      <c r="H79" s="10"/>
      <c r="I79" s="19"/>
      <c r="J79" s="19"/>
    </row>
    <row r="80" spans="1:10">
      <c r="A80" s="10" t="s">
        <v>1931</v>
      </c>
      <c r="B80" s="11">
        <v>40</v>
      </c>
      <c r="C80" s="10" t="s">
        <v>158</v>
      </c>
      <c r="D80" s="10" t="s">
        <v>1939</v>
      </c>
      <c r="E80" s="10"/>
      <c r="F80" s="10"/>
      <c r="G80" s="10"/>
      <c r="H80" s="10"/>
      <c r="I80" s="19"/>
      <c r="J80" s="19"/>
    </row>
    <row r="81" spans="1:10">
      <c r="A81" s="26" t="s">
        <v>1448</v>
      </c>
      <c r="B81" s="27">
        <v>30</v>
      </c>
      <c r="C81" s="26" t="s">
        <v>158</v>
      </c>
      <c r="D81" s="26" t="s">
        <v>1940</v>
      </c>
      <c r="E81" s="10"/>
      <c r="F81" s="10"/>
      <c r="G81" s="10"/>
      <c r="H81" s="10"/>
      <c r="I81" s="19"/>
      <c r="J81" s="19"/>
    </row>
    <row r="82" spans="1:10">
      <c r="A82" s="10" t="s">
        <v>1447</v>
      </c>
      <c r="B82" s="11">
        <v>150</v>
      </c>
      <c r="C82" s="10" t="s">
        <v>158</v>
      </c>
      <c r="D82" s="10" t="s">
        <v>1935</v>
      </c>
      <c r="E82" s="10"/>
      <c r="F82" s="10"/>
      <c r="G82" s="10"/>
      <c r="H82" s="10"/>
      <c r="I82" s="19"/>
      <c r="J82" s="19"/>
    </row>
    <row r="83" spans="1:10">
      <c r="A83" s="26" t="s">
        <v>1447</v>
      </c>
      <c r="B83" s="27">
        <v>80</v>
      </c>
      <c r="C83" s="26" t="s">
        <v>158</v>
      </c>
      <c r="D83" s="26" t="s">
        <v>1934</v>
      </c>
      <c r="E83" s="10"/>
      <c r="F83" s="10"/>
      <c r="G83" s="10"/>
      <c r="H83" s="10"/>
      <c r="I83" s="19"/>
      <c r="J83" s="19"/>
    </row>
    <row r="84" spans="1:10">
      <c r="A84" s="10" t="s">
        <v>2132</v>
      </c>
      <c r="B84" s="11">
        <v>5</v>
      </c>
      <c r="C84" s="10" t="s">
        <v>153</v>
      </c>
      <c r="D84" s="10" t="s">
        <v>2134</v>
      </c>
      <c r="E84" s="10"/>
      <c r="F84" s="10"/>
      <c r="G84" s="10"/>
      <c r="H84" s="10"/>
      <c r="I84" s="19"/>
      <c r="J84" s="19"/>
    </row>
    <row r="85" spans="1:10">
      <c r="A85" s="26" t="s">
        <v>2131</v>
      </c>
      <c r="B85" s="27">
        <v>5</v>
      </c>
      <c r="C85" s="26" t="s">
        <v>153</v>
      </c>
      <c r="D85" s="26" t="s">
        <v>2135</v>
      </c>
      <c r="E85" s="10"/>
      <c r="F85" s="10"/>
      <c r="G85" s="10"/>
      <c r="H85" s="10"/>
      <c r="I85" s="19"/>
      <c r="J85" s="19"/>
    </row>
    <row r="86" spans="1:10">
      <c r="A86" s="10" t="s">
        <v>2133</v>
      </c>
      <c r="B86" s="11">
        <v>5</v>
      </c>
      <c r="C86" s="10" t="s">
        <v>153</v>
      </c>
      <c r="D86" s="10" t="s">
        <v>2134</v>
      </c>
      <c r="E86" s="10"/>
      <c r="F86" s="10"/>
      <c r="G86" s="10"/>
      <c r="H86" s="10"/>
      <c r="I86" s="19"/>
      <c r="J86" s="19"/>
    </row>
    <row r="87" spans="1:10">
      <c r="A87" s="26" t="s">
        <v>1511</v>
      </c>
      <c r="B87" s="27">
        <v>5</v>
      </c>
      <c r="C87" s="26" t="s">
        <v>153</v>
      </c>
      <c r="D87" s="26" t="s">
        <v>2136</v>
      </c>
      <c r="E87" s="10"/>
      <c r="F87" s="10"/>
      <c r="G87" s="10"/>
      <c r="H87" s="10"/>
      <c r="I87" s="19"/>
      <c r="J87" s="19"/>
    </row>
    <row r="88" spans="1:10">
      <c r="A88" s="10" t="s">
        <v>1432</v>
      </c>
      <c r="B88" s="11">
        <v>2</v>
      </c>
      <c r="C88" s="10" t="s">
        <v>158</v>
      </c>
      <c r="D88" s="10" t="s">
        <v>1933</v>
      </c>
      <c r="E88" s="10"/>
      <c r="F88" s="10"/>
      <c r="G88" s="10"/>
      <c r="H88" s="10"/>
      <c r="I88" s="19"/>
      <c r="J88" s="19"/>
    </row>
    <row r="89" spans="1:10">
      <c r="A89" s="26" t="s">
        <v>1432</v>
      </c>
      <c r="B89" s="27">
        <v>20</v>
      </c>
      <c r="C89" s="26" t="s">
        <v>153</v>
      </c>
      <c r="D89" s="26" t="s">
        <v>1932</v>
      </c>
      <c r="E89" s="10"/>
      <c r="F89" s="10"/>
      <c r="G89" s="10"/>
      <c r="H89" s="10"/>
      <c r="I89" s="19"/>
      <c r="J89" s="19"/>
    </row>
    <row r="90" spans="1:10">
      <c r="A90" s="10" t="s">
        <v>1986</v>
      </c>
      <c r="B90" s="11">
        <v>25</v>
      </c>
      <c r="C90" s="10" t="s">
        <v>495</v>
      </c>
      <c r="D90" s="10"/>
      <c r="E90" s="10"/>
      <c r="F90" s="10"/>
      <c r="G90" s="10"/>
      <c r="H90" s="10"/>
      <c r="I90" s="19"/>
      <c r="J90" s="19"/>
    </row>
    <row r="91" spans="1:10">
      <c r="A91" s="26" t="s">
        <v>1986</v>
      </c>
      <c r="B91" s="27">
        <v>15</v>
      </c>
      <c r="C91" s="26" t="s">
        <v>161</v>
      </c>
      <c r="D91" s="26" t="s">
        <v>1998</v>
      </c>
      <c r="E91" s="10"/>
      <c r="F91" s="10"/>
      <c r="G91" s="10"/>
      <c r="H91" s="10"/>
      <c r="I91" s="19"/>
      <c r="J91" s="19"/>
    </row>
    <row r="92" spans="1:10">
      <c r="A92" s="10" t="s">
        <v>1431</v>
      </c>
      <c r="B92" s="11">
        <v>10</v>
      </c>
      <c r="C92" s="10" t="s">
        <v>332</v>
      </c>
      <c r="D92" s="10" t="s">
        <v>1985</v>
      </c>
      <c r="E92" s="10"/>
      <c r="F92" s="10"/>
      <c r="G92" s="10"/>
      <c r="H92" s="10"/>
      <c r="I92" s="19"/>
      <c r="J92" s="19"/>
    </row>
    <row r="93" spans="1:10">
      <c r="A93" s="26" t="s">
        <v>1431</v>
      </c>
      <c r="B93" s="27">
        <v>10</v>
      </c>
      <c r="C93" s="26" t="s">
        <v>332</v>
      </c>
      <c r="D93" s="26" t="s">
        <v>1994</v>
      </c>
      <c r="E93" s="10"/>
      <c r="F93" s="10"/>
      <c r="G93" s="10"/>
      <c r="H93" s="10"/>
      <c r="I93" s="19"/>
      <c r="J93" s="19"/>
    </row>
    <row r="94" spans="1:10">
      <c r="A94" s="10" t="s">
        <v>1993</v>
      </c>
      <c r="B94" s="11">
        <v>25</v>
      </c>
      <c r="C94" s="10" t="s">
        <v>158</v>
      </c>
      <c r="D94" s="10"/>
      <c r="E94" s="10"/>
      <c r="F94" s="10"/>
      <c r="G94" s="10"/>
      <c r="H94" s="10"/>
      <c r="I94" s="19"/>
      <c r="J94" s="19"/>
    </row>
    <row r="95" spans="1:10">
      <c r="A95" s="26" t="s">
        <v>1993</v>
      </c>
      <c r="B95" s="27">
        <v>20</v>
      </c>
      <c r="C95" s="26" t="s">
        <v>332</v>
      </c>
      <c r="D95" s="26" t="s">
        <v>1994</v>
      </c>
      <c r="E95" s="10"/>
      <c r="F95" s="10"/>
      <c r="G95" s="10"/>
      <c r="H95" s="10"/>
      <c r="I95" s="19"/>
      <c r="J95" s="19"/>
    </row>
    <row r="96" spans="1:10">
      <c r="A96" s="10" t="s">
        <v>1598</v>
      </c>
      <c r="B96" s="11">
        <v>25</v>
      </c>
      <c r="C96" s="10" t="s">
        <v>161</v>
      </c>
      <c r="D96" s="10"/>
      <c r="E96" s="10"/>
      <c r="F96" s="10"/>
      <c r="G96" s="10"/>
      <c r="H96" s="10"/>
      <c r="I96" s="19"/>
      <c r="J96" s="19"/>
    </row>
    <row r="97" spans="1:11">
      <c r="A97" s="26" t="s">
        <v>1598</v>
      </c>
      <c r="B97" s="27">
        <v>25</v>
      </c>
      <c r="C97" s="26" t="s">
        <v>458</v>
      </c>
      <c r="D97" s="26" t="s">
        <v>1994</v>
      </c>
      <c r="E97" s="10"/>
      <c r="F97" s="10"/>
      <c r="G97" s="10"/>
      <c r="H97" s="10"/>
      <c r="I97" s="19"/>
      <c r="J97" s="19"/>
    </row>
    <row r="98" spans="1:11">
      <c r="A98" s="10" t="s">
        <v>1597</v>
      </c>
      <c r="B98" s="11">
        <v>2</v>
      </c>
      <c r="C98" s="10" t="s">
        <v>248</v>
      </c>
      <c r="D98" s="10"/>
      <c r="E98" s="10"/>
      <c r="F98" s="10"/>
      <c r="G98" s="10"/>
      <c r="H98" s="10"/>
      <c r="I98" s="19"/>
      <c r="J98" s="19"/>
    </row>
    <row r="99" spans="1:11">
      <c r="A99" s="26" t="s">
        <v>1597</v>
      </c>
      <c r="B99" s="27">
        <v>5</v>
      </c>
      <c r="C99" s="26" t="s">
        <v>458</v>
      </c>
      <c r="D99" s="26" t="s">
        <v>1988</v>
      </c>
      <c r="E99" s="10"/>
      <c r="F99" s="10"/>
      <c r="G99" s="10"/>
      <c r="H99" s="10"/>
      <c r="I99" s="19"/>
      <c r="J99" s="19"/>
    </row>
    <row r="100" spans="1:11">
      <c r="A100" s="10" t="s">
        <v>1989</v>
      </c>
      <c r="B100" s="11">
        <v>25</v>
      </c>
      <c r="C100" s="10" t="s">
        <v>158</v>
      </c>
      <c r="D100" s="10"/>
      <c r="E100" s="10"/>
      <c r="F100" s="10"/>
      <c r="G100" s="10"/>
      <c r="H100" s="10"/>
      <c r="I100" s="19"/>
      <c r="J100" s="19"/>
    </row>
    <row r="101" spans="1:11">
      <c r="A101" s="26" t="s">
        <v>1989</v>
      </c>
      <c r="B101" s="27">
        <v>20</v>
      </c>
      <c r="C101" s="26" t="s">
        <v>153</v>
      </c>
      <c r="D101" s="26" t="s">
        <v>1988</v>
      </c>
      <c r="E101" s="10"/>
      <c r="F101" s="10"/>
      <c r="G101" s="10"/>
      <c r="H101" s="10"/>
      <c r="I101" s="19"/>
      <c r="J101" s="19"/>
    </row>
    <row r="102" spans="1:11">
      <c r="A102" s="10" t="s">
        <v>1990</v>
      </c>
      <c r="B102" s="11">
        <v>2</v>
      </c>
      <c r="C102" s="10" t="s">
        <v>153</v>
      </c>
      <c r="D102" s="10"/>
      <c r="E102" s="10"/>
      <c r="F102" s="10"/>
      <c r="G102" s="10"/>
      <c r="H102" s="10"/>
      <c r="I102" s="19"/>
      <c r="J102" s="19"/>
    </row>
    <row r="103" spans="1:11">
      <c r="A103" s="26" t="s">
        <v>1990</v>
      </c>
      <c r="B103" s="27">
        <v>5</v>
      </c>
      <c r="C103" s="26" t="s">
        <v>153</v>
      </c>
      <c r="D103" s="26" t="s">
        <v>1987</v>
      </c>
      <c r="E103" s="10"/>
      <c r="F103" s="10"/>
      <c r="G103" s="10"/>
      <c r="H103" s="10"/>
      <c r="I103" s="19"/>
      <c r="J103" s="19"/>
    </row>
    <row r="104" spans="1:11">
      <c r="A104" s="10" t="s">
        <v>1991</v>
      </c>
      <c r="B104" s="11">
        <v>10</v>
      </c>
      <c r="C104" s="10" t="s">
        <v>161</v>
      </c>
      <c r="D104" s="10"/>
      <c r="E104" s="10"/>
      <c r="F104" s="10"/>
      <c r="G104" s="10"/>
      <c r="H104" s="10"/>
      <c r="I104" s="19"/>
      <c r="J104" s="19"/>
    </row>
    <row r="105" spans="1:11">
      <c r="A105" s="26" t="s">
        <v>1991</v>
      </c>
      <c r="B105" s="27">
        <v>15</v>
      </c>
      <c r="C105" s="26" t="s">
        <v>157</v>
      </c>
      <c r="D105" s="26" t="s">
        <v>1992</v>
      </c>
      <c r="E105" s="10"/>
      <c r="F105" s="10"/>
      <c r="G105" s="10"/>
      <c r="H105" s="10"/>
      <c r="I105" s="19"/>
      <c r="J105" s="19"/>
    </row>
    <row r="106" spans="1:11" s="1" customFormat="1">
      <c r="A106" s="40" t="s">
        <v>649</v>
      </c>
      <c r="B106" s="42">
        <v>60</v>
      </c>
      <c r="C106" s="40" t="s">
        <v>458</v>
      </c>
      <c r="D106" s="40" t="s">
        <v>650</v>
      </c>
      <c r="E106" s="10"/>
      <c r="F106" s="10"/>
      <c r="G106" s="10"/>
      <c r="H106" s="10"/>
      <c r="I106" s="10"/>
    </row>
    <row r="107" spans="1:11" s="1" customFormat="1">
      <c r="A107" s="40" t="s">
        <v>1941</v>
      </c>
      <c r="B107" s="42">
        <v>60</v>
      </c>
      <c r="C107" s="40" t="s">
        <v>153</v>
      </c>
      <c r="D107" s="40" t="s">
        <v>1896</v>
      </c>
      <c r="E107" s="10"/>
      <c r="F107" s="10"/>
      <c r="G107" s="10"/>
      <c r="H107" s="10"/>
      <c r="I107" s="10"/>
      <c r="J107" s="10"/>
      <c r="K107" s="10"/>
    </row>
    <row r="108" spans="1:11" s="1" customFormat="1">
      <c r="A108" s="40" t="s">
        <v>1898</v>
      </c>
      <c r="B108" s="42">
        <v>125</v>
      </c>
      <c r="C108" s="40" t="s">
        <v>153</v>
      </c>
      <c r="D108" s="40" t="s">
        <v>1542</v>
      </c>
      <c r="E108" s="10"/>
      <c r="F108" s="10"/>
      <c r="G108" s="10"/>
      <c r="H108" s="10"/>
      <c r="I108" s="10"/>
      <c r="J108" s="10"/>
      <c r="K108" s="10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5"/>
  <sheetViews>
    <sheetView workbookViewId="0">
      <pane ySplit="1" topLeftCell="A2" activePane="bottomLeft" state="frozen"/>
      <selection pane="bottomLeft" activeCell="F3" sqref="F3:G5"/>
    </sheetView>
  </sheetViews>
  <sheetFormatPr defaultRowHeight="15"/>
  <cols>
    <col min="1" max="1" width="34.28515625" customWidth="1"/>
    <col min="2" max="2" width="11.42578125" style="34" customWidth="1"/>
    <col min="3" max="3" width="11.42578125" style="4" customWidth="1"/>
    <col min="4" max="4" width="7.85546875" style="34" customWidth="1"/>
    <col min="7" max="7" width="15.7109375" customWidth="1"/>
  </cols>
  <sheetData>
    <row r="1" spans="1:7" ht="15.75" thickBot="1">
      <c r="A1" s="7" t="s">
        <v>34</v>
      </c>
      <c r="B1" s="21" t="s">
        <v>200</v>
      </c>
      <c r="C1" s="14" t="s">
        <v>85</v>
      </c>
      <c r="D1" s="56" t="s">
        <v>207</v>
      </c>
    </row>
    <row r="2" spans="1:7" ht="15.75" thickBot="1">
      <c r="A2" s="1" t="s">
        <v>2460</v>
      </c>
      <c r="B2" s="4" t="s">
        <v>495</v>
      </c>
      <c r="C2" s="4" t="s">
        <v>161</v>
      </c>
      <c r="D2" s="4" t="s">
        <v>153</v>
      </c>
    </row>
    <row r="3" spans="1:7">
      <c r="A3" s="26" t="s">
        <v>2460</v>
      </c>
      <c r="B3" s="28" t="s">
        <v>838</v>
      </c>
      <c r="C3" s="28" t="s">
        <v>203</v>
      </c>
      <c r="D3" s="28" t="s">
        <v>203</v>
      </c>
      <c r="F3" s="35"/>
      <c r="G3" s="22" t="s">
        <v>72</v>
      </c>
    </row>
    <row r="4" spans="1:7">
      <c r="A4" s="1" t="s">
        <v>1602</v>
      </c>
      <c r="B4" s="4" t="s">
        <v>378</v>
      </c>
      <c r="C4" s="4" t="s">
        <v>565</v>
      </c>
      <c r="D4" s="4" t="s">
        <v>1538</v>
      </c>
      <c r="F4" s="43"/>
      <c r="G4" s="44" t="s">
        <v>73</v>
      </c>
    </row>
    <row r="5" spans="1:7" ht="15.75" thickBot="1">
      <c r="A5" s="26" t="s">
        <v>1602</v>
      </c>
      <c r="B5" s="28" t="s">
        <v>1633</v>
      </c>
      <c r="C5" s="28" t="s">
        <v>204</v>
      </c>
      <c r="D5" s="28" t="s">
        <v>600</v>
      </c>
      <c r="F5" s="51"/>
      <c r="G5" s="45" t="s">
        <v>929</v>
      </c>
    </row>
    <row r="6" spans="1:7">
      <c r="A6" s="1" t="s">
        <v>1603</v>
      </c>
      <c r="B6" s="4" t="s">
        <v>378</v>
      </c>
      <c r="C6" s="4" t="s">
        <v>565</v>
      </c>
      <c r="D6" s="4" t="s">
        <v>600</v>
      </c>
    </row>
    <row r="7" spans="1:7">
      <c r="A7" s="26" t="s">
        <v>1603</v>
      </c>
      <c r="B7" s="28" t="s">
        <v>1604</v>
      </c>
      <c r="C7" s="28" t="s">
        <v>204</v>
      </c>
      <c r="D7" s="28" t="s">
        <v>600</v>
      </c>
    </row>
    <row r="8" spans="1:7">
      <c r="A8" s="1" t="s">
        <v>1600</v>
      </c>
      <c r="B8" s="4" t="s">
        <v>378</v>
      </c>
      <c r="D8" s="4"/>
    </row>
    <row r="9" spans="1:7">
      <c r="A9" s="26" t="s">
        <v>1600</v>
      </c>
      <c r="B9" s="28" t="s">
        <v>268</v>
      </c>
      <c r="C9" s="28" t="s">
        <v>565</v>
      </c>
      <c r="D9" s="28" t="s">
        <v>1245</v>
      </c>
    </row>
    <row r="10" spans="1:7">
      <c r="A10" s="1" t="s">
        <v>1601</v>
      </c>
      <c r="B10" s="4" t="s">
        <v>378</v>
      </c>
      <c r="D10" s="4"/>
    </row>
    <row r="11" spans="1:7">
      <c r="A11" s="26" t="s">
        <v>1601</v>
      </c>
      <c r="B11" s="28" t="s">
        <v>610</v>
      </c>
      <c r="C11" s="28" t="s">
        <v>565</v>
      </c>
      <c r="D11" s="28" t="s">
        <v>1245</v>
      </c>
    </row>
    <row r="12" spans="1:7">
      <c r="A12" s="1" t="s">
        <v>1599</v>
      </c>
      <c r="B12" s="4" t="s">
        <v>378</v>
      </c>
      <c r="D12" s="4"/>
    </row>
    <row r="13" spans="1:7">
      <c r="A13" s="26" t="s">
        <v>1599</v>
      </c>
      <c r="B13" s="28" t="s">
        <v>290</v>
      </c>
      <c r="C13" s="28" t="s">
        <v>565</v>
      </c>
      <c r="D13" s="28" t="s">
        <v>1245</v>
      </c>
    </row>
    <row r="14" spans="1:7">
      <c r="A14" s="1" t="s">
        <v>1605</v>
      </c>
      <c r="B14" s="4" t="s">
        <v>290</v>
      </c>
      <c r="D14" s="4" t="s">
        <v>337</v>
      </c>
    </row>
    <row r="15" spans="1:7">
      <c r="A15" s="26" t="s">
        <v>1605</v>
      </c>
      <c r="B15" s="28" t="s">
        <v>342</v>
      </c>
      <c r="C15" s="28" t="s">
        <v>203</v>
      </c>
      <c r="D15" s="28" t="s">
        <v>337</v>
      </c>
    </row>
    <row r="16" spans="1:7">
      <c r="A16" s="1" t="s">
        <v>1606</v>
      </c>
      <c r="B16" s="4" t="s">
        <v>204</v>
      </c>
      <c r="D16" s="4" t="s">
        <v>204</v>
      </c>
    </row>
    <row r="17" spans="1:4">
      <c r="A17" s="26" t="s">
        <v>1606</v>
      </c>
      <c r="B17" s="28" t="s">
        <v>599</v>
      </c>
      <c r="C17" s="28" t="s">
        <v>212</v>
      </c>
      <c r="D17" s="28" t="s">
        <v>283</v>
      </c>
    </row>
    <row r="18" spans="1:4">
      <c r="A18" s="1" t="s">
        <v>1607</v>
      </c>
      <c r="B18" s="4" t="s">
        <v>342</v>
      </c>
      <c r="C18" s="4" t="s">
        <v>565</v>
      </c>
      <c r="D18" s="4" t="s">
        <v>413</v>
      </c>
    </row>
    <row r="19" spans="1:4">
      <c r="A19" s="26" t="s">
        <v>1607</v>
      </c>
      <c r="B19" s="28" t="s">
        <v>566</v>
      </c>
      <c r="C19" s="28" t="s">
        <v>412</v>
      </c>
      <c r="D19" s="28" t="s">
        <v>412</v>
      </c>
    </row>
    <row r="20" spans="1:4">
      <c r="A20" s="1" t="s">
        <v>1609</v>
      </c>
      <c r="B20" s="4" t="s">
        <v>204</v>
      </c>
      <c r="C20" s="4" t="s">
        <v>565</v>
      </c>
      <c r="D20" s="4" t="s">
        <v>413</v>
      </c>
    </row>
    <row r="21" spans="1:4">
      <c r="A21" s="26" t="s">
        <v>1875</v>
      </c>
      <c r="B21" s="28" t="s">
        <v>204</v>
      </c>
      <c r="C21" s="28" t="s">
        <v>412</v>
      </c>
      <c r="D21" s="28" t="s">
        <v>412</v>
      </c>
    </row>
    <row r="22" spans="1:4">
      <c r="A22" s="1" t="s">
        <v>1608</v>
      </c>
      <c r="B22" s="4" t="s">
        <v>565</v>
      </c>
      <c r="C22" s="4" t="s">
        <v>565</v>
      </c>
      <c r="D22" s="4" t="s">
        <v>413</v>
      </c>
    </row>
    <row r="23" spans="1:4">
      <c r="A23" s="26" t="s">
        <v>1608</v>
      </c>
      <c r="B23" s="28" t="s">
        <v>846</v>
      </c>
      <c r="C23" s="28" t="s">
        <v>412</v>
      </c>
      <c r="D23" s="28" t="s">
        <v>412</v>
      </c>
    </row>
    <row r="24" spans="1:4">
      <c r="A24" s="1" t="s">
        <v>1374</v>
      </c>
      <c r="B24" s="4" t="s">
        <v>565</v>
      </c>
      <c r="C24" s="4" t="s">
        <v>565</v>
      </c>
      <c r="D24" s="4" t="s">
        <v>413</v>
      </c>
    </row>
    <row r="25" spans="1:4">
      <c r="A25" s="26" t="s">
        <v>1611</v>
      </c>
      <c r="B25" s="28" t="s">
        <v>222</v>
      </c>
      <c r="C25" s="28" t="s">
        <v>412</v>
      </c>
      <c r="D25" s="28" t="s">
        <v>412</v>
      </c>
    </row>
    <row r="26" spans="1:4">
      <c r="A26" s="1" t="s">
        <v>1375</v>
      </c>
      <c r="B26" s="4" t="s">
        <v>565</v>
      </c>
      <c r="C26" s="4" t="s">
        <v>565</v>
      </c>
      <c r="D26" s="4" t="s">
        <v>413</v>
      </c>
    </row>
    <row r="27" spans="1:4">
      <c r="A27" s="26" t="s">
        <v>1610</v>
      </c>
      <c r="B27" s="28" t="s">
        <v>413</v>
      </c>
      <c r="C27" s="28" t="s">
        <v>630</v>
      </c>
      <c r="D27" s="28" t="s">
        <v>248</v>
      </c>
    </row>
    <row r="28" spans="1:4">
      <c r="A28" s="1" t="s">
        <v>1614</v>
      </c>
      <c r="B28" s="4" t="s">
        <v>211</v>
      </c>
      <c r="C28" s="4" t="s">
        <v>246</v>
      </c>
      <c r="D28" s="4" t="s">
        <v>212</v>
      </c>
    </row>
    <row r="29" spans="1:4">
      <c r="A29" s="26" t="s">
        <v>1373</v>
      </c>
      <c r="B29" s="28" t="s">
        <v>501</v>
      </c>
      <c r="C29" s="28" t="s">
        <v>501</v>
      </c>
      <c r="D29" s="28" t="s">
        <v>458</v>
      </c>
    </row>
    <row r="30" spans="1:4">
      <c r="A30" s="1" t="s">
        <v>1612</v>
      </c>
      <c r="B30" s="4" t="s">
        <v>412</v>
      </c>
      <c r="C30" s="4" t="s">
        <v>291</v>
      </c>
      <c r="D30" s="4" t="s">
        <v>565</v>
      </c>
    </row>
    <row r="31" spans="1:4">
      <c r="A31" s="26" t="s">
        <v>1612</v>
      </c>
      <c r="B31" s="28" t="s">
        <v>1613</v>
      </c>
      <c r="C31" s="28" t="s">
        <v>412</v>
      </c>
      <c r="D31" s="28" t="s">
        <v>413</v>
      </c>
    </row>
    <row r="32" spans="1:4">
      <c r="A32" s="1" t="s">
        <v>1618</v>
      </c>
      <c r="B32" s="4" t="s">
        <v>212</v>
      </c>
      <c r="C32" s="4" t="s">
        <v>291</v>
      </c>
      <c r="D32" s="4"/>
    </row>
    <row r="33" spans="1:4">
      <c r="A33" s="26" t="s">
        <v>1618</v>
      </c>
      <c r="B33" s="28" t="s">
        <v>412</v>
      </c>
      <c r="C33" s="28" t="s">
        <v>413</v>
      </c>
      <c r="D33" s="28" t="s">
        <v>565</v>
      </c>
    </row>
    <row r="34" spans="1:4">
      <c r="A34" s="1" t="s">
        <v>1452</v>
      </c>
      <c r="B34" s="4" t="s">
        <v>212</v>
      </c>
      <c r="D34" s="4"/>
    </row>
    <row r="35" spans="1:4">
      <c r="A35" s="26" t="s">
        <v>1452</v>
      </c>
      <c r="B35" s="28" t="s">
        <v>845</v>
      </c>
      <c r="C35" s="28"/>
      <c r="D35" s="28"/>
    </row>
    <row r="36" spans="1:4">
      <c r="A36" s="1" t="s">
        <v>1521</v>
      </c>
      <c r="B36" s="4" t="s">
        <v>158</v>
      </c>
      <c r="D36" s="4"/>
    </row>
    <row r="37" spans="1:4">
      <c r="A37" s="26" t="s">
        <v>1521</v>
      </c>
      <c r="B37" s="28" t="s">
        <v>1619</v>
      </c>
      <c r="C37" s="28"/>
      <c r="D37" s="28"/>
    </row>
    <row r="38" spans="1:4">
      <c r="A38" s="1" t="s">
        <v>1445</v>
      </c>
      <c r="B38" s="4" t="s">
        <v>248</v>
      </c>
      <c r="D38" s="4"/>
    </row>
    <row r="39" spans="1:4">
      <c r="A39" s="26" t="s">
        <v>1445</v>
      </c>
      <c r="B39" s="28" t="s">
        <v>458</v>
      </c>
      <c r="C39" s="28"/>
      <c r="D39" s="28"/>
    </row>
    <row r="40" spans="1:4">
      <c r="A40" s="1" t="s">
        <v>1874</v>
      </c>
      <c r="B40" s="4" t="s">
        <v>495</v>
      </c>
      <c r="C40" s="4" t="s">
        <v>153</v>
      </c>
      <c r="D40" s="4" t="s">
        <v>156</v>
      </c>
    </row>
    <row r="41" spans="1:4">
      <c r="A41" s="26" t="s">
        <v>1874</v>
      </c>
      <c r="B41" s="28" t="s">
        <v>247</v>
      </c>
      <c r="C41" s="28" t="s">
        <v>332</v>
      </c>
      <c r="D41" s="28" t="s">
        <v>332</v>
      </c>
    </row>
    <row r="42" spans="1:4">
      <c r="A42" s="1" t="s">
        <v>1443</v>
      </c>
      <c r="B42" s="4" t="s">
        <v>250</v>
      </c>
      <c r="D42" s="4"/>
    </row>
    <row r="43" spans="1:4">
      <c r="A43" s="26" t="s">
        <v>1443</v>
      </c>
      <c r="B43" s="28" t="s">
        <v>211</v>
      </c>
      <c r="C43" s="28"/>
      <c r="D43" s="28"/>
    </row>
    <row r="44" spans="1:4">
      <c r="A44" s="1" t="s">
        <v>1616</v>
      </c>
      <c r="B44" s="4" t="s">
        <v>211</v>
      </c>
      <c r="D44" s="4" t="s">
        <v>246</v>
      </c>
    </row>
    <row r="45" spans="1:4">
      <c r="A45" s="26" t="s">
        <v>1616</v>
      </c>
      <c r="B45" s="28" t="s">
        <v>203</v>
      </c>
      <c r="C45" s="28"/>
      <c r="D45" s="28" t="s">
        <v>248</v>
      </c>
    </row>
    <row r="46" spans="1:4">
      <c r="A46" s="1" t="s">
        <v>1617</v>
      </c>
      <c r="B46" s="4" t="s">
        <v>412</v>
      </c>
      <c r="D46" s="4" t="s">
        <v>246</v>
      </c>
    </row>
    <row r="47" spans="1:4">
      <c r="A47" s="26" t="s">
        <v>1617</v>
      </c>
      <c r="B47" s="28" t="s">
        <v>212</v>
      </c>
      <c r="C47" s="28"/>
      <c r="D47" s="28" t="s">
        <v>248</v>
      </c>
    </row>
    <row r="48" spans="1:4">
      <c r="A48" s="1" t="s">
        <v>1541</v>
      </c>
      <c r="B48" s="4" t="s">
        <v>501</v>
      </c>
      <c r="D48" s="4"/>
    </row>
    <row r="49" spans="1:4">
      <c r="A49" s="26" t="s">
        <v>1541</v>
      </c>
      <c r="B49" s="28" t="s">
        <v>293</v>
      </c>
      <c r="C49" s="28"/>
      <c r="D49" s="28" t="s">
        <v>379</v>
      </c>
    </row>
    <row r="50" spans="1:4">
      <c r="A50" s="1" t="s">
        <v>1372</v>
      </c>
      <c r="B50" s="4" t="s">
        <v>212</v>
      </c>
      <c r="D50" s="4"/>
    </row>
    <row r="51" spans="1:4">
      <c r="A51" s="26" t="s">
        <v>1372</v>
      </c>
      <c r="B51" s="28" t="s">
        <v>562</v>
      </c>
      <c r="C51" s="28"/>
      <c r="D51" s="28"/>
    </row>
    <row r="52" spans="1:4">
      <c r="A52" s="1" t="s">
        <v>1390</v>
      </c>
      <c r="B52" s="4" t="s">
        <v>153</v>
      </c>
      <c r="C52" s="4" t="s">
        <v>665</v>
      </c>
      <c r="D52" s="4" t="s">
        <v>665</v>
      </c>
    </row>
    <row r="53" spans="1:4">
      <c r="A53" s="26" t="s">
        <v>1390</v>
      </c>
      <c r="B53" s="28" t="s">
        <v>458</v>
      </c>
      <c r="C53" s="28" t="s">
        <v>495</v>
      </c>
      <c r="D53" s="28" t="s">
        <v>495</v>
      </c>
    </row>
    <row r="54" spans="1:4">
      <c r="A54" s="1" t="s">
        <v>1455</v>
      </c>
      <c r="B54" s="4" t="s">
        <v>501</v>
      </c>
      <c r="C54" s="4" t="s">
        <v>665</v>
      </c>
      <c r="D54" s="4" t="s">
        <v>495</v>
      </c>
    </row>
    <row r="55" spans="1:4">
      <c r="A55" s="26" t="s">
        <v>1455</v>
      </c>
      <c r="B55" s="28" t="s">
        <v>845</v>
      </c>
      <c r="C55" s="28" t="s">
        <v>153</v>
      </c>
      <c r="D55" s="28" t="s">
        <v>153</v>
      </c>
    </row>
    <row r="56" spans="1:4">
      <c r="A56" s="1" t="s">
        <v>1383</v>
      </c>
      <c r="B56" s="4"/>
      <c r="D56" s="4"/>
    </row>
    <row r="57" spans="1:4">
      <c r="A57" s="26" t="s">
        <v>1383</v>
      </c>
      <c r="B57" s="28"/>
      <c r="C57" s="28"/>
      <c r="D57" s="28" t="s">
        <v>158</v>
      </c>
    </row>
    <row r="58" spans="1:4">
      <c r="A58" s="1" t="s">
        <v>1384</v>
      </c>
      <c r="B58" s="4"/>
      <c r="D58" s="4"/>
    </row>
    <row r="59" spans="1:4">
      <c r="A59" s="26" t="s">
        <v>1384</v>
      </c>
      <c r="B59" s="28" t="s">
        <v>501</v>
      </c>
      <c r="C59" s="28"/>
      <c r="D59" s="28" t="s">
        <v>158</v>
      </c>
    </row>
    <row r="60" spans="1:4">
      <c r="A60" s="1" t="s">
        <v>1625</v>
      </c>
      <c r="B60" s="4" t="s">
        <v>161</v>
      </c>
      <c r="D60" s="4"/>
    </row>
    <row r="61" spans="1:4">
      <c r="A61" s="26" t="s">
        <v>1625</v>
      </c>
      <c r="B61" s="28" t="s">
        <v>157</v>
      </c>
      <c r="C61" s="28"/>
      <c r="D61" s="28"/>
    </row>
    <row r="62" spans="1:4">
      <c r="A62" s="1" t="s">
        <v>1457</v>
      </c>
      <c r="B62" s="4" t="s">
        <v>154</v>
      </c>
      <c r="D62" s="4"/>
    </row>
    <row r="63" spans="1:4">
      <c r="A63" s="26" t="s">
        <v>1457</v>
      </c>
      <c r="B63" s="28" t="s">
        <v>158</v>
      </c>
      <c r="C63" s="28"/>
      <c r="D63" s="28"/>
    </row>
    <row r="64" spans="1:4">
      <c r="A64" s="1" t="s">
        <v>1388</v>
      </c>
      <c r="B64" s="4" t="s">
        <v>332</v>
      </c>
      <c r="C64" s="4" t="s">
        <v>332</v>
      </c>
      <c r="D64" s="4" t="s">
        <v>332</v>
      </c>
    </row>
    <row r="65" spans="1:4">
      <c r="A65" s="26" t="s">
        <v>1388</v>
      </c>
      <c r="B65" s="28" t="s">
        <v>247</v>
      </c>
      <c r="C65" s="28" t="s">
        <v>211</v>
      </c>
      <c r="D65" s="28" t="s">
        <v>250</v>
      </c>
    </row>
    <row r="66" spans="1:4">
      <c r="A66" s="1" t="s">
        <v>1387</v>
      </c>
      <c r="B66" s="4" t="s">
        <v>153</v>
      </c>
      <c r="D66" s="4" t="s">
        <v>248</v>
      </c>
    </row>
    <row r="67" spans="1:4">
      <c r="A67" s="26" t="s">
        <v>1387</v>
      </c>
      <c r="B67" s="28" t="s">
        <v>246</v>
      </c>
      <c r="C67" s="28"/>
      <c r="D67" s="28" t="s">
        <v>247</v>
      </c>
    </row>
    <row r="68" spans="1:4">
      <c r="A68" s="1" t="s">
        <v>1615</v>
      </c>
      <c r="B68" s="4" t="s">
        <v>248</v>
      </c>
      <c r="C68" s="4" t="s">
        <v>665</v>
      </c>
      <c r="D68" s="4" t="s">
        <v>161</v>
      </c>
    </row>
    <row r="69" spans="1:4">
      <c r="A69" s="26" t="s">
        <v>1615</v>
      </c>
      <c r="B69" s="28" t="s">
        <v>533</v>
      </c>
      <c r="C69" s="28" t="s">
        <v>155</v>
      </c>
      <c r="D69" s="28" t="s">
        <v>154</v>
      </c>
    </row>
    <row r="70" spans="1:4">
      <c r="A70" s="1" t="s">
        <v>1620</v>
      </c>
      <c r="B70" s="4" t="s">
        <v>250</v>
      </c>
      <c r="D70" s="4"/>
    </row>
    <row r="71" spans="1:4">
      <c r="A71" s="26" t="s">
        <v>1620</v>
      </c>
      <c r="B71" s="28" t="s">
        <v>247</v>
      </c>
      <c r="C71" s="28"/>
      <c r="D71" s="28" t="s">
        <v>246</v>
      </c>
    </row>
    <row r="72" spans="1:4">
      <c r="A72" s="1" t="s">
        <v>1621</v>
      </c>
      <c r="B72" s="4" t="s">
        <v>246</v>
      </c>
      <c r="D72" s="4"/>
    </row>
    <row r="73" spans="1:4">
      <c r="A73" s="26" t="s">
        <v>1621</v>
      </c>
      <c r="B73" s="28" t="s">
        <v>247</v>
      </c>
      <c r="C73" s="28"/>
      <c r="D73" s="28"/>
    </row>
    <row r="74" spans="1:4">
      <c r="A74" s="1" t="s">
        <v>1386</v>
      </c>
      <c r="B74" s="4" t="s">
        <v>153</v>
      </c>
      <c r="D74" s="4" t="s">
        <v>665</v>
      </c>
    </row>
    <row r="75" spans="1:4">
      <c r="A75" s="26" t="s">
        <v>1386</v>
      </c>
      <c r="B75" s="28" t="s">
        <v>458</v>
      </c>
      <c r="C75" s="28"/>
      <c r="D75" s="28" t="s">
        <v>158</v>
      </c>
    </row>
    <row r="76" spans="1:4">
      <c r="A76" s="1" t="s">
        <v>1385</v>
      </c>
      <c r="B76" s="4"/>
      <c r="D76" s="4" t="s">
        <v>495</v>
      </c>
    </row>
    <row r="77" spans="1:4">
      <c r="A77" s="26" t="s">
        <v>1385</v>
      </c>
      <c r="B77" s="28"/>
      <c r="C77" s="28"/>
      <c r="D77" s="28" t="s">
        <v>154</v>
      </c>
    </row>
    <row r="78" spans="1:4">
      <c r="A78" s="1" t="s">
        <v>1623</v>
      </c>
      <c r="B78" s="4"/>
      <c r="D78" s="4"/>
    </row>
    <row r="79" spans="1:4">
      <c r="A79" s="26" t="s">
        <v>1623</v>
      </c>
      <c r="B79" s="28"/>
      <c r="C79" s="28"/>
      <c r="D79" s="28" t="s">
        <v>665</v>
      </c>
    </row>
    <row r="80" spans="1:4">
      <c r="A80" s="1" t="s">
        <v>1922</v>
      </c>
      <c r="B80" s="4" t="s">
        <v>1923</v>
      </c>
      <c r="C80" s="4" t="s">
        <v>413</v>
      </c>
      <c r="D80" s="4" t="s">
        <v>665</v>
      </c>
    </row>
    <row r="81" spans="1:4">
      <c r="A81" s="26" t="s">
        <v>1922</v>
      </c>
      <c r="B81" s="28" t="s">
        <v>161</v>
      </c>
      <c r="C81" s="28" t="s">
        <v>332</v>
      </c>
      <c r="D81" s="28" t="s">
        <v>153</v>
      </c>
    </row>
    <row r="82" spans="1:4">
      <c r="A82" s="1" t="s">
        <v>2051</v>
      </c>
      <c r="B82" s="4" t="s">
        <v>501</v>
      </c>
      <c r="C82" s="4" t="s">
        <v>153</v>
      </c>
      <c r="D82" s="4" t="s">
        <v>153</v>
      </c>
    </row>
    <row r="83" spans="1:4">
      <c r="A83" s="26" t="s">
        <v>2051</v>
      </c>
      <c r="B83" s="28" t="s">
        <v>461</v>
      </c>
      <c r="C83" s="28" t="s">
        <v>158</v>
      </c>
      <c r="D83" s="28" t="s">
        <v>158</v>
      </c>
    </row>
    <row r="84" spans="1:4">
      <c r="A84" s="1" t="s">
        <v>2050</v>
      </c>
      <c r="B84" s="4" t="s">
        <v>247</v>
      </c>
      <c r="C84" s="4" t="s">
        <v>153</v>
      </c>
      <c r="D84" s="4" t="s">
        <v>332</v>
      </c>
    </row>
    <row r="85" spans="1:4">
      <c r="A85" s="26" t="s">
        <v>2050</v>
      </c>
      <c r="B85" s="28" t="s">
        <v>330</v>
      </c>
      <c r="C85" s="28" t="s">
        <v>153</v>
      </c>
      <c r="D85" s="28" t="s">
        <v>153</v>
      </c>
    </row>
    <row r="86" spans="1:4">
      <c r="A86" s="1" t="s">
        <v>1624</v>
      </c>
      <c r="B86" s="4" t="s">
        <v>153</v>
      </c>
      <c r="C86" s="4" t="s">
        <v>153</v>
      </c>
      <c r="D86" s="4" t="s">
        <v>153</v>
      </c>
    </row>
    <row r="87" spans="1:4">
      <c r="A87" s="26" t="s">
        <v>1624</v>
      </c>
      <c r="B87" s="28" t="s">
        <v>153</v>
      </c>
      <c r="C87" s="28" t="s">
        <v>158</v>
      </c>
      <c r="D87" s="28" t="s">
        <v>158</v>
      </c>
    </row>
    <row r="88" spans="1:4">
      <c r="A88" s="1" t="s">
        <v>1449</v>
      </c>
      <c r="B88" s="4" t="s">
        <v>212</v>
      </c>
      <c r="C88" s="4" t="s">
        <v>332</v>
      </c>
      <c r="D88" s="4" t="s">
        <v>153</v>
      </c>
    </row>
    <row r="89" spans="1:4">
      <c r="A89" s="26" t="s">
        <v>1449</v>
      </c>
      <c r="B89" s="28" t="s">
        <v>246</v>
      </c>
      <c r="C89" s="28" t="s">
        <v>332</v>
      </c>
      <c r="D89" s="28" t="s">
        <v>153</v>
      </c>
    </row>
    <row r="90" spans="1:4">
      <c r="A90" s="1" t="s">
        <v>1622</v>
      </c>
      <c r="B90" s="4" t="s">
        <v>495</v>
      </c>
      <c r="D90" s="4" t="s">
        <v>248</v>
      </c>
    </row>
    <row r="91" spans="1:4">
      <c r="A91" s="26" t="s">
        <v>1622</v>
      </c>
      <c r="B91" s="28" t="s">
        <v>332</v>
      </c>
      <c r="C91" s="28" t="s">
        <v>359</v>
      </c>
      <c r="D91" s="28" t="s">
        <v>248</v>
      </c>
    </row>
    <row r="92" spans="1:4">
      <c r="A92" s="1" t="s">
        <v>1518</v>
      </c>
      <c r="B92" s="4" t="s">
        <v>495</v>
      </c>
      <c r="D92" s="4" t="s">
        <v>332</v>
      </c>
    </row>
    <row r="93" spans="1:4">
      <c r="A93" s="26" t="s">
        <v>1518</v>
      </c>
      <c r="B93" s="28" t="s">
        <v>153</v>
      </c>
      <c r="C93" s="28"/>
      <c r="D93" s="28" t="s">
        <v>153</v>
      </c>
    </row>
    <row r="94" spans="1:4">
      <c r="A94" s="1" t="s">
        <v>1381</v>
      </c>
      <c r="B94" s="4" t="s">
        <v>158</v>
      </c>
      <c r="C94" s="4" t="s">
        <v>153</v>
      </c>
      <c r="D94" s="4" t="s">
        <v>412</v>
      </c>
    </row>
    <row r="95" spans="1:4">
      <c r="A95" s="26" t="s">
        <v>1381</v>
      </c>
      <c r="B95" s="28" t="s">
        <v>458</v>
      </c>
      <c r="C95" s="28" t="s">
        <v>157</v>
      </c>
      <c r="D95" s="28" t="s">
        <v>156</v>
      </c>
    </row>
    <row r="96" spans="1:4">
      <c r="A96" s="1" t="s">
        <v>1626</v>
      </c>
      <c r="B96" s="4"/>
      <c r="D96" s="4"/>
    </row>
    <row r="97" spans="1:4">
      <c r="A97" s="26" t="s">
        <v>1626</v>
      </c>
      <c r="B97" s="28" t="s">
        <v>157</v>
      </c>
      <c r="C97" s="28"/>
      <c r="D97" s="28"/>
    </row>
    <row r="98" spans="1:4">
      <c r="A98" s="1" t="s">
        <v>2185</v>
      </c>
      <c r="B98" s="4" t="s">
        <v>617</v>
      </c>
      <c r="C98" s="4" t="s">
        <v>161</v>
      </c>
      <c r="D98" s="4" t="s">
        <v>332</v>
      </c>
    </row>
    <row r="99" spans="1:4">
      <c r="A99" s="26" t="s">
        <v>2185</v>
      </c>
      <c r="B99" s="28" t="s">
        <v>617</v>
      </c>
      <c r="C99" s="28" t="s">
        <v>161</v>
      </c>
      <c r="D99" s="28" t="s">
        <v>158</v>
      </c>
    </row>
    <row r="100" spans="1:4">
      <c r="A100" s="1" t="s">
        <v>1596</v>
      </c>
      <c r="B100" s="4" t="s">
        <v>158</v>
      </c>
      <c r="D100" s="4"/>
    </row>
    <row r="101" spans="1:4">
      <c r="A101" s="26" t="s">
        <v>1596</v>
      </c>
      <c r="B101" s="28" t="s">
        <v>153</v>
      </c>
      <c r="C101" s="28"/>
      <c r="D101" s="28"/>
    </row>
    <row r="102" spans="1:4">
      <c r="A102" s="1" t="s">
        <v>1453</v>
      </c>
      <c r="B102" s="4" t="s">
        <v>332</v>
      </c>
      <c r="C102" s="4" t="s">
        <v>665</v>
      </c>
      <c r="D102" s="4" t="s">
        <v>495</v>
      </c>
    </row>
    <row r="103" spans="1:4">
      <c r="A103" s="26" t="s">
        <v>1453</v>
      </c>
      <c r="B103" s="28" t="s">
        <v>359</v>
      </c>
      <c r="C103" s="28" t="s">
        <v>158</v>
      </c>
      <c r="D103" s="28" t="s">
        <v>158</v>
      </c>
    </row>
    <row r="104" spans="1:4">
      <c r="A104" s="1" t="s">
        <v>1379</v>
      </c>
      <c r="B104" s="4" t="s">
        <v>332</v>
      </c>
      <c r="D104" s="4" t="s">
        <v>153</v>
      </c>
    </row>
    <row r="105" spans="1:4">
      <c r="A105" s="26" t="s">
        <v>1379</v>
      </c>
      <c r="B105" s="28" t="s">
        <v>247</v>
      </c>
      <c r="C105" s="28"/>
      <c r="D105" s="28" t="s">
        <v>458</v>
      </c>
    </row>
    <row r="106" spans="1:4">
      <c r="A106" s="1" t="s">
        <v>1439</v>
      </c>
      <c r="B106" s="34">
        <v>20</v>
      </c>
      <c r="C106" s="4" t="s">
        <v>665</v>
      </c>
      <c r="D106" s="34">
        <v>2</v>
      </c>
    </row>
    <row r="107" spans="1:4">
      <c r="A107" s="26" t="s">
        <v>1439</v>
      </c>
      <c r="B107" s="33">
        <v>5</v>
      </c>
      <c r="C107" s="28" t="s">
        <v>158</v>
      </c>
      <c r="D107" s="33">
        <v>10</v>
      </c>
    </row>
    <row r="108" spans="1:4">
      <c r="A108" s="1" t="s">
        <v>1438</v>
      </c>
      <c r="B108" s="34">
        <v>2</v>
      </c>
      <c r="C108" s="4" t="s">
        <v>665</v>
      </c>
      <c r="D108" s="34">
        <v>20</v>
      </c>
    </row>
    <row r="109" spans="1:4">
      <c r="A109" s="26" t="s">
        <v>1438</v>
      </c>
      <c r="B109" s="33">
        <v>9</v>
      </c>
      <c r="C109" s="28" t="s">
        <v>158</v>
      </c>
      <c r="D109" s="33">
        <v>15</v>
      </c>
    </row>
    <row r="110" spans="1:4">
      <c r="A110" s="1" t="s">
        <v>1433</v>
      </c>
      <c r="B110" s="34">
        <v>25</v>
      </c>
      <c r="D110" s="34">
        <v>5</v>
      </c>
    </row>
    <row r="111" spans="1:4">
      <c r="A111" s="26" t="s">
        <v>1433</v>
      </c>
      <c r="B111" s="33">
        <v>40</v>
      </c>
      <c r="C111" s="28"/>
      <c r="D111" s="33">
        <v>15</v>
      </c>
    </row>
    <row r="112" spans="1:4">
      <c r="A112" t="s">
        <v>1424</v>
      </c>
      <c r="B112" s="34">
        <v>2</v>
      </c>
    </row>
    <row r="113" spans="1:4">
      <c r="A113" s="30" t="s">
        <v>1424</v>
      </c>
      <c r="B113" s="33">
        <v>40</v>
      </c>
      <c r="C113" s="28"/>
      <c r="D113" s="33"/>
    </row>
    <row r="114" spans="1:4">
      <c r="A114" t="s">
        <v>1627</v>
      </c>
      <c r="B114" s="34">
        <v>5</v>
      </c>
    </row>
    <row r="115" spans="1:4">
      <c r="A115" s="30" t="s">
        <v>1627</v>
      </c>
      <c r="B115" s="33">
        <v>50</v>
      </c>
      <c r="C115" s="28"/>
      <c r="D115" s="33"/>
    </row>
    <row r="116" spans="1:4">
      <c r="A116" t="s">
        <v>2048</v>
      </c>
      <c r="B116" s="34">
        <v>20</v>
      </c>
      <c r="C116" s="4" t="s">
        <v>665</v>
      </c>
      <c r="D116" s="34">
        <v>10</v>
      </c>
    </row>
    <row r="117" spans="1:4">
      <c r="A117" s="30" t="s">
        <v>2048</v>
      </c>
      <c r="B117" s="33">
        <v>111</v>
      </c>
      <c r="C117" s="28" t="s">
        <v>158</v>
      </c>
      <c r="D117" s="33">
        <v>10</v>
      </c>
    </row>
    <row r="118" spans="1:4">
      <c r="A118" t="s">
        <v>1628</v>
      </c>
      <c r="C118" s="4" t="s">
        <v>665</v>
      </c>
      <c r="D118" s="34">
        <v>2</v>
      </c>
    </row>
    <row r="119" spans="1:4">
      <c r="A119" s="30" t="s">
        <v>1628</v>
      </c>
      <c r="B119" s="33">
        <v>40</v>
      </c>
      <c r="C119" s="28" t="s">
        <v>495</v>
      </c>
      <c r="D119" s="33">
        <v>5</v>
      </c>
    </row>
    <row r="120" spans="1:4">
      <c r="A120" t="s">
        <v>1629</v>
      </c>
      <c r="C120" s="4" t="s">
        <v>665</v>
      </c>
      <c r="D120" s="34">
        <v>2</v>
      </c>
    </row>
    <row r="121" spans="1:4">
      <c r="A121" s="30" t="s">
        <v>1629</v>
      </c>
      <c r="B121" s="33">
        <v>35</v>
      </c>
      <c r="C121" s="28" t="s">
        <v>665</v>
      </c>
      <c r="D121" s="33">
        <v>5</v>
      </c>
    </row>
    <row r="122" spans="1:4">
      <c r="A122" t="s">
        <v>1704</v>
      </c>
      <c r="B122" s="34">
        <v>20</v>
      </c>
      <c r="C122" s="4" t="s">
        <v>665</v>
      </c>
      <c r="D122" s="34">
        <v>5</v>
      </c>
    </row>
    <row r="123" spans="1:4">
      <c r="A123" s="30" t="s">
        <v>1704</v>
      </c>
      <c r="B123" s="33">
        <v>20</v>
      </c>
      <c r="C123" s="28" t="s">
        <v>158</v>
      </c>
      <c r="D123" s="33">
        <v>10</v>
      </c>
    </row>
    <row r="124" spans="1:4">
      <c r="A124" t="s">
        <v>2047</v>
      </c>
      <c r="B124" s="34">
        <v>10</v>
      </c>
      <c r="C124" s="4" t="s">
        <v>665</v>
      </c>
      <c r="D124" s="34">
        <v>2</v>
      </c>
    </row>
    <row r="125" spans="1:4">
      <c r="A125" s="30" t="s">
        <v>2047</v>
      </c>
      <c r="B125" s="33">
        <v>24</v>
      </c>
      <c r="C125" s="28" t="s">
        <v>157</v>
      </c>
      <c r="D125" s="33">
        <v>8</v>
      </c>
    </row>
    <row r="126" spans="1:4">
      <c r="A126" t="s">
        <v>1440</v>
      </c>
      <c r="B126" s="34">
        <v>5</v>
      </c>
      <c r="C126" s="4" t="s">
        <v>665</v>
      </c>
      <c r="D126" s="34">
        <v>2</v>
      </c>
    </row>
    <row r="127" spans="1:4">
      <c r="A127" s="30" t="s">
        <v>1440</v>
      </c>
      <c r="B127" s="33">
        <v>5</v>
      </c>
      <c r="C127" s="28" t="s">
        <v>158</v>
      </c>
      <c r="D127" s="33">
        <v>5</v>
      </c>
    </row>
    <row r="128" spans="1:4">
      <c r="A128" t="s">
        <v>1630</v>
      </c>
      <c r="C128" s="4" t="s">
        <v>495</v>
      </c>
    </row>
    <row r="129" spans="1:4">
      <c r="A129" s="30" t="s">
        <v>1630</v>
      </c>
      <c r="B129" s="33">
        <v>30</v>
      </c>
      <c r="C129" s="28" t="s">
        <v>158</v>
      </c>
      <c r="D129" s="33"/>
    </row>
    <row r="130" spans="1:4">
      <c r="A130" t="s">
        <v>1019</v>
      </c>
      <c r="B130" s="34">
        <v>50</v>
      </c>
      <c r="C130" s="4" t="s">
        <v>161</v>
      </c>
      <c r="D130" s="34">
        <v>20</v>
      </c>
    </row>
    <row r="131" spans="1:4">
      <c r="A131" s="30" t="s">
        <v>1272</v>
      </c>
      <c r="B131" s="33">
        <v>50</v>
      </c>
      <c r="C131" s="28" t="s">
        <v>158</v>
      </c>
      <c r="D131" s="33">
        <v>10</v>
      </c>
    </row>
    <row r="132" spans="1:4">
      <c r="A132" t="s">
        <v>1631</v>
      </c>
    </row>
    <row r="133" spans="1:4">
      <c r="A133" s="30" t="s">
        <v>1631</v>
      </c>
      <c r="B133" s="33">
        <v>24</v>
      </c>
      <c r="C133" s="28"/>
      <c r="D133" s="33"/>
    </row>
    <row r="134" spans="1:4">
      <c r="A134" t="s">
        <v>1425</v>
      </c>
      <c r="B134" s="34">
        <v>3</v>
      </c>
    </row>
    <row r="135" spans="1:4">
      <c r="A135" s="30" t="s">
        <v>1425</v>
      </c>
      <c r="B135" s="33">
        <v>20</v>
      </c>
      <c r="C135" s="28"/>
      <c r="D135" s="33"/>
    </row>
    <row r="136" spans="1:4">
      <c r="A136" t="s">
        <v>1436</v>
      </c>
    </row>
    <row r="137" spans="1:4">
      <c r="A137" s="30" t="s">
        <v>1436</v>
      </c>
      <c r="B137" s="33">
        <v>20</v>
      </c>
      <c r="C137" s="28"/>
      <c r="D137" s="33">
        <v>10</v>
      </c>
    </row>
    <row r="138" spans="1:4">
      <c r="A138" t="s">
        <v>1434</v>
      </c>
    </row>
    <row r="139" spans="1:4">
      <c r="A139" s="30" t="s">
        <v>1434</v>
      </c>
      <c r="B139" s="33">
        <v>14</v>
      </c>
      <c r="C139" s="28"/>
      <c r="D139" s="33"/>
    </row>
    <row r="140" spans="1:4">
      <c r="A140" t="s">
        <v>1437</v>
      </c>
    </row>
    <row r="141" spans="1:4">
      <c r="A141" s="30" t="s">
        <v>1437</v>
      </c>
      <c r="B141" s="33">
        <v>12</v>
      </c>
      <c r="C141" s="28"/>
      <c r="D141" s="33"/>
    </row>
    <row r="142" spans="1:4">
      <c r="A142" t="s">
        <v>1632</v>
      </c>
    </row>
    <row r="143" spans="1:4">
      <c r="A143" s="30" t="s">
        <v>1632</v>
      </c>
      <c r="B143" s="33">
        <v>8</v>
      </c>
      <c r="C143" s="28"/>
      <c r="D143" s="33"/>
    </row>
    <row r="144" spans="1:4">
      <c r="A144" t="s">
        <v>1435</v>
      </c>
    </row>
    <row r="145" spans="1:4">
      <c r="A145" s="30" t="s">
        <v>1435</v>
      </c>
      <c r="B145" s="33">
        <v>6</v>
      </c>
      <c r="C145" s="28"/>
      <c r="D145" s="33"/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9"/>
  <sheetViews>
    <sheetView workbookViewId="0">
      <selection activeCell="C2" sqref="C2:D4"/>
    </sheetView>
  </sheetViews>
  <sheetFormatPr defaultRowHeight="15"/>
  <cols>
    <col min="1" max="1" width="126.85546875" customWidth="1"/>
    <col min="4" max="4" width="15.7109375" customWidth="1"/>
  </cols>
  <sheetData>
    <row r="1" spans="1:4" ht="15.75" thickBot="1">
      <c r="A1" s="30" t="s">
        <v>2002</v>
      </c>
    </row>
    <row r="2" spans="1:4">
      <c r="A2" s="30" t="s">
        <v>2003</v>
      </c>
      <c r="C2" s="35"/>
      <c r="D2" s="22" t="s">
        <v>72</v>
      </c>
    </row>
    <row r="3" spans="1:4">
      <c r="A3" s="30" t="s">
        <v>2004</v>
      </c>
      <c r="C3" s="43"/>
      <c r="D3" s="44" t="s">
        <v>73</v>
      </c>
    </row>
    <row r="4" spans="1:4" ht="15.75" thickBot="1">
      <c r="A4" s="30" t="s">
        <v>1426</v>
      </c>
      <c r="C4" s="51"/>
      <c r="D4" s="45" t="s">
        <v>929</v>
      </c>
    </row>
    <row r="5" spans="1:4">
      <c r="A5" s="30" t="s">
        <v>2046</v>
      </c>
    </row>
    <row r="6" spans="1:4">
      <c r="A6" s="30" t="s">
        <v>1271</v>
      </c>
    </row>
    <row r="7" spans="1:4">
      <c r="A7" s="30" t="s">
        <v>1427</v>
      </c>
    </row>
    <row r="8" spans="1:4">
      <c r="A8" s="30" t="s">
        <v>1171</v>
      </c>
    </row>
    <row r="9" spans="1:4">
      <c r="A9" s="30" t="s">
        <v>2526</v>
      </c>
    </row>
    <row r="10" spans="1:4">
      <c r="A10" s="30" t="s">
        <v>970</v>
      </c>
    </row>
    <row r="11" spans="1:4">
      <c r="A11" s="30" t="s">
        <v>1392</v>
      </c>
    </row>
    <row r="12" spans="1:4">
      <c r="A12" s="30" t="s">
        <v>1393</v>
      </c>
    </row>
    <row r="13" spans="1:4">
      <c r="A13" s="30" t="s">
        <v>1029</v>
      </c>
    </row>
    <row r="14" spans="1:4">
      <c r="A14" s="30" t="s">
        <v>1918</v>
      </c>
    </row>
    <row r="15" spans="1:4">
      <c r="A15" s="30" t="s">
        <v>1395</v>
      </c>
    </row>
    <row r="16" spans="1:4">
      <c r="A16" s="30" t="s">
        <v>1394</v>
      </c>
    </row>
    <row r="17" spans="1:1">
      <c r="A17" s="30" t="s">
        <v>1930</v>
      </c>
    </row>
    <row r="18" spans="1:1">
      <c r="A18" s="30" t="s">
        <v>251</v>
      </c>
    </row>
    <row r="19" spans="1:1">
      <c r="A19" s="30" t="s">
        <v>713</v>
      </c>
    </row>
    <row r="20" spans="1:1">
      <c r="A20" s="30" t="s">
        <v>736</v>
      </c>
    </row>
    <row r="21" spans="1:1">
      <c r="A21" s="30" t="s">
        <v>737</v>
      </c>
    </row>
    <row r="22" spans="1:1">
      <c r="A22" s="30" t="s">
        <v>731</v>
      </c>
    </row>
    <row r="23" spans="1:1">
      <c r="A23" s="30" t="s">
        <v>1712</v>
      </c>
    </row>
    <row r="24" spans="1:1">
      <c r="A24" s="30" t="s">
        <v>1916</v>
      </c>
    </row>
    <row r="25" spans="1:1">
      <c r="A25" s="30" t="s">
        <v>1253</v>
      </c>
    </row>
    <row r="26" spans="1:1">
      <c r="A26" s="30" t="s">
        <v>1913</v>
      </c>
    </row>
    <row r="27" spans="1:1">
      <c r="A27" s="30" t="s">
        <v>1256</v>
      </c>
    </row>
    <row r="28" spans="1:1">
      <c r="A28" s="30" t="s">
        <v>1258</v>
      </c>
    </row>
    <row r="29" spans="1:1">
      <c r="A29" s="30" t="s">
        <v>1257</v>
      </c>
    </row>
    <row r="30" spans="1:1">
      <c r="A30" s="30" t="s">
        <v>1255</v>
      </c>
    </row>
    <row r="31" spans="1:1">
      <c r="A31" s="30" t="s">
        <v>1954</v>
      </c>
    </row>
    <row r="32" spans="1:1">
      <c r="A32" s="30" t="s">
        <v>1294</v>
      </c>
    </row>
    <row r="33" spans="1:1">
      <c r="A33" s="30" t="s">
        <v>2347</v>
      </c>
    </row>
    <row r="34" spans="1:1">
      <c r="A34" s="30" t="s">
        <v>1259</v>
      </c>
    </row>
    <row r="35" spans="1:1">
      <c r="A35" s="30" t="s">
        <v>1254</v>
      </c>
    </row>
    <row r="36" spans="1:1">
      <c r="A36" s="30" t="s">
        <v>1737</v>
      </c>
    </row>
    <row r="37" spans="1:1">
      <c r="A37" s="30" t="s">
        <v>1252</v>
      </c>
    </row>
    <row r="38" spans="1:1">
      <c r="A38" s="30" t="s">
        <v>2029</v>
      </c>
    </row>
    <row r="39" spans="1:1">
      <c r="A39" s="30" t="s">
        <v>2325</v>
      </c>
    </row>
    <row r="40" spans="1:1">
      <c r="A40" s="30" t="s">
        <v>1251</v>
      </c>
    </row>
    <row r="41" spans="1:1">
      <c r="A41" s="30" t="s">
        <v>299</v>
      </c>
    </row>
    <row r="42" spans="1:1">
      <c r="A42" s="30" t="s">
        <v>1396</v>
      </c>
    </row>
    <row r="43" spans="1:1">
      <c r="A43" s="30" t="s">
        <v>1705</v>
      </c>
    </row>
    <row r="44" spans="1:1">
      <c r="A44" s="30" t="s">
        <v>300</v>
      </c>
    </row>
    <row r="45" spans="1:1">
      <c r="A45" s="30" t="s">
        <v>1706</v>
      </c>
    </row>
    <row r="46" spans="1:1">
      <c r="A46" s="30" t="s">
        <v>301</v>
      </c>
    </row>
    <row r="47" spans="1:1">
      <c r="A47" s="30" t="s">
        <v>1707</v>
      </c>
    </row>
    <row r="48" spans="1:1">
      <c r="A48" s="30" t="s">
        <v>1329</v>
      </c>
    </row>
    <row r="49" spans="1:1">
      <c r="A49" s="30" t="s">
        <v>1006</v>
      </c>
    </row>
    <row r="50" spans="1:1">
      <c r="A50" s="30" t="s">
        <v>1005</v>
      </c>
    </row>
    <row r="51" spans="1:1">
      <c r="A51" s="30" t="s">
        <v>1016</v>
      </c>
    </row>
    <row r="52" spans="1:1">
      <c r="A52" s="30" t="s">
        <v>1003</v>
      </c>
    </row>
    <row r="53" spans="1:1">
      <c r="A53" s="30" t="s">
        <v>1018</v>
      </c>
    </row>
    <row r="54" spans="1:1">
      <c r="A54" s="30" t="s">
        <v>1017</v>
      </c>
    </row>
    <row r="55" spans="1:1">
      <c r="A55" s="30" t="s">
        <v>302</v>
      </c>
    </row>
    <row r="56" spans="1:1">
      <c r="A56" s="30" t="s">
        <v>1002</v>
      </c>
    </row>
    <row r="57" spans="1:1">
      <c r="A57" s="30" t="s">
        <v>1004</v>
      </c>
    </row>
    <row r="58" spans="1:1">
      <c r="A58" s="30" t="s">
        <v>996</v>
      </c>
    </row>
    <row r="59" spans="1:1">
      <c r="A59" s="30" t="s">
        <v>938</v>
      </c>
    </row>
    <row r="60" spans="1:1">
      <c r="A60" s="30" t="s">
        <v>321</v>
      </c>
    </row>
    <row r="61" spans="1:1">
      <c r="A61" s="30" t="s">
        <v>1708</v>
      </c>
    </row>
    <row r="62" spans="1:1">
      <c r="A62" s="30" t="s">
        <v>252</v>
      </c>
    </row>
    <row r="63" spans="1:1">
      <c r="A63" s="30" t="s">
        <v>1884</v>
      </c>
    </row>
    <row r="64" spans="1:1">
      <c r="A64" s="30" t="s">
        <v>164</v>
      </c>
    </row>
    <row r="65" spans="1:1">
      <c r="A65" s="30" t="s">
        <v>750</v>
      </c>
    </row>
    <row r="66" spans="1:1">
      <c r="A66" s="30" t="s">
        <v>324</v>
      </c>
    </row>
    <row r="67" spans="1:1">
      <c r="A67" s="30" t="s">
        <v>1887</v>
      </c>
    </row>
    <row r="68" spans="1:1">
      <c r="A68" s="30" t="s">
        <v>1885</v>
      </c>
    </row>
    <row r="69" spans="1:1">
      <c r="A69" s="30" t="s">
        <v>1886</v>
      </c>
    </row>
    <row r="70" spans="1:1">
      <c r="A70" s="30" t="s">
        <v>939</v>
      </c>
    </row>
    <row r="71" spans="1:1">
      <c r="A71" s="30" t="s">
        <v>322</v>
      </c>
    </row>
    <row r="72" spans="1:1">
      <c r="A72" s="30" t="s">
        <v>1332</v>
      </c>
    </row>
    <row r="73" spans="1:1">
      <c r="A73" s="30" t="s">
        <v>2527</v>
      </c>
    </row>
    <row r="74" spans="1:1">
      <c r="A74" s="30" t="s">
        <v>323</v>
      </c>
    </row>
    <row r="75" spans="1:1">
      <c r="A75" s="30" t="s">
        <v>680</v>
      </c>
    </row>
    <row r="76" spans="1:1">
      <c r="A76" s="30" t="s">
        <v>1328</v>
      </c>
    </row>
    <row r="77" spans="1:1">
      <c r="A77" s="30" t="s">
        <v>1333</v>
      </c>
    </row>
    <row r="78" spans="1:1">
      <c r="A78" s="30" t="s">
        <v>679</v>
      </c>
    </row>
    <row r="79" spans="1:1">
      <c r="A79" s="30" t="s">
        <v>1286</v>
      </c>
    </row>
    <row r="80" spans="1:1">
      <c r="A80" s="30" t="s">
        <v>1915</v>
      </c>
    </row>
    <row r="81" spans="1:1">
      <c r="A81" s="30" t="s">
        <v>1914</v>
      </c>
    </row>
    <row r="82" spans="1:1">
      <c r="A82" s="30" t="s">
        <v>1353</v>
      </c>
    </row>
    <row r="83" spans="1:1">
      <c r="A83" s="30" t="s">
        <v>2528</v>
      </c>
    </row>
    <row r="84" spans="1:1">
      <c r="A84" s="30" t="s">
        <v>1352</v>
      </c>
    </row>
    <row r="85" spans="1:1">
      <c r="A85" s="30" t="s">
        <v>1709</v>
      </c>
    </row>
    <row r="86" spans="1:1">
      <c r="A86" s="30" t="s">
        <v>178</v>
      </c>
    </row>
    <row r="87" spans="1:1">
      <c r="A87" s="30" t="s">
        <v>730</v>
      </c>
    </row>
    <row r="88" spans="1:1">
      <c r="A88" s="30" t="s">
        <v>738</v>
      </c>
    </row>
    <row r="89" spans="1:1">
      <c r="A89" s="30" t="s">
        <v>1714</v>
      </c>
    </row>
    <row r="90" spans="1:1">
      <c r="A90" s="30" t="s">
        <v>1338</v>
      </c>
    </row>
    <row r="91" spans="1:1">
      <c r="A91" s="30" t="s">
        <v>1330</v>
      </c>
    </row>
    <row r="92" spans="1:1">
      <c r="A92" s="30" t="s">
        <v>2529</v>
      </c>
    </row>
    <row r="93" spans="1:1">
      <c r="A93" s="30" t="s">
        <v>770</v>
      </c>
    </row>
    <row r="94" spans="1:1">
      <c r="A94" s="30" t="s">
        <v>2530</v>
      </c>
    </row>
    <row r="95" spans="1:1">
      <c r="A95" s="30" t="s">
        <v>2531</v>
      </c>
    </row>
    <row r="96" spans="1:1">
      <c r="A96" s="30" t="s">
        <v>1354</v>
      </c>
    </row>
    <row r="97" spans="1:1">
      <c r="A97" s="30" t="s">
        <v>1355</v>
      </c>
    </row>
    <row r="98" spans="1:1">
      <c r="A98" s="30" t="s">
        <v>954</v>
      </c>
    </row>
    <row r="99" spans="1:1">
      <c r="A99" s="30" t="s">
        <v>955</v>
      </c>
    </row>
    <row r="100" spans="1:1">
      <c r="A100" s="30" t="s">
        <v>1331</v>
      </c>
    </row>
    <row r="101" spans="1:1">
      <c r="A101" s="30" t="s">
        <v>1929</v>
      </c>
    </row>
    <row r="102" spans="1:1">
      <c r="A102" s="30" t="s">
        <v>783</v>
      </c>
    </row>
    <row r="103" spans="1:1">
      <c r="A103" s="30" t="s">
        <v>1975</v>
      </c>
    </row>
    <row r="104" spans="1:1">
      <c r="A104" s="30" t="s">
        <v>1868</v>
      </c>
    </row>
    <row r="105" spans="1:1">
      <c r="A105" s="30" t="s">
        <v>175</v>
      </c>
    </row>
    <row r="106" spans="1:1">
      <c r="A106" s="30" t="s">
        <v>1740</v>
      </c>
    </row>
    <row r="107" spans="1:1">
      <c r="A107" s="30" t="s">
        <v>1878</v>
      </c>
    </row>
    <row r="108" spans="1:1">
      <c r="A108" s="30" t="s">
        <v>2008</v>
      </c>
    </row>
    <row r="109" spans="1:1">
      <c r="A109" s="30" t="s">
        <v>2011</v>
      </c>
    </row>
    <row r="110" spans="1:1">
      <c r="A110" s="30" t="s">
        <v>1296</v>
      </c>
    </row>
    <row r="111" spans="1:1">
      <c r="A111" s="30" t="s">
        <v>1877</v>
      </c>
    </row>
    <row r="112" spans="1:1">
      <c r="A112" s="30" t="s">
        <v>1530</v>
      </c>
    </row>
    <row r="113" spans="1:1">
      <c r="A113" s="30" t="s">
        <v>1741</v>
      </c>
    </row>
    <row r="114" spans="1:1">
      <c r="A114" s="30" t="s">
        <v>1967</v>
      </c>
    </row>
    <row r="115" spans="1:1">
      <c r="A115" s="30" t="s">
        <v>2009</v>
      </c>
    </row>
    <row r="116" spans="1:1">
      <c r="A116" s="30" t="s">
        <v>2006</v>
      </c>
    </row>
    <row r="117" spans="1:1">
      <c r="A117" s="30" t="s">
        <v>748</v>
      </c>
    </row>
    <row r="118" spans="1:1">
      <c r="A118" s="30" t="s">
        <v>1297</v>
      </c>
    </row>
    <row r="119" spans="1:1">
      <c r="A119" s="30" t="s">
        <v>1710</v>
      </c>
    </row>
    <row r="120" spans="1:1">
      <c r="A120" s="30" t="s">
        <v>1487</v>
      </c>
    </row>
    <row r="121" spans="1:1">
      <c r="A121" s="30" t="s">
        <v>1488</v>
      </c>
    </row>
    <row r="122" spans="1:1">
      <c r="A122" s="30" t="s">
        <v>1351</v>
      </c>
    </row>
    <row r="123" spans="1:1">
      <c r="A123" s="30" t="s">
        <v>2010</v>
      </c>
    </row>
    <row r="124" spans="1:1">
      <c r="A124" s="30" t="s">
        <v>1711</v>
      </c>
    </row>
    <row r="125" spans="1:1">
      <c r="A125" s="30" t="s">
        <v>1298</v>
      </c>
    </row>
    <row r="126" spans="1:1">
      <c r="A126" s="30" t="s">
        <v>749</v>
      </c>
    </row>
    <row r="127" spans="1:1">
      <c r="A127" s="30" t="s">
        <v>755</v>
      </c>
    </row>
    <row r="128" spans="1:1">
      <c r="A128" s="30" t="s">
        <v>1963</v>
      </c>
    </row>
    <row r="129" spans="1:1">
      <c r="A129" s="30" t="s">
        <v>756</v>
      </c>
    </row>
    <row r="130" spans="1:1">
      <c r="A130" s="30" t="s">
        <v>987</v>
      </c>
    </row>
    <row r="131" spans="1:1">
      <c r="A131" s="30" t="s">
        <v>988</v>
      </c>
    </row>
    <row r="132" spans="1:1">
      <c r="A132" s="30" t="s">
        <v>165</v>
      </c>
    </row>
    <row r="133" spans="1:1">
      <c r="A133" s="30" t="s">
        <v>1299</v>
      </c>
    </row>
    <row r="134" spans="1:1">
      <c r="A134" s="30" t="s">
        <v>754</v>
      </c>
    </row>
    <row r="135" spans="1:1">
      <c r="A135" s="30" t="s">
        <v>1919</v>
      </c>
    </row>
    <row r="136" spans="1:1">
      <c r="A136" s="30" t="s">
        <v>1361</v>
      </c>
    </row>
    <row r="137" spans="1:1">
      <c r="A137" s="30" t="s">
        <v>968</v>
      </c>
    </row>
    <row r="138" spans="1:1">
      <c r="A138" s="30" t="s">
        <v>762</v>
      </c>
    </row>
    <row r="139" spans="1:1">
      <c r="A139" s="30" t="s">
        <v>1295</v>
      </c>
    </row>
    <row r="140" spans="1:1">
      <c r="A140" s="30" t="s">
        <v>143</v>
      </c>
    </row>
    <row r="141" spans="1:1">
      <c r="A141" s="30" t="s">
        <v>1301</v>
      </c>
    </row>
    <row r="142" spans="1:1">
      <c r="A142" s="30" t="s">
        <v>336</v>
      </c>
    </row>
    <row r="143" spans="1:1">
      <c r="A143" s="30" t="s">
        <v>2128</v>
      </c>
    </row>
    <row r="144" spans="1:1">
      <c r="A144" s="30" t="s">
        <v>1300</v>
      </c>
    </row>
    <row r="145" spans="1:1">
      <c r="A145" s="30" t="s">
        <v>144</v>
      </c>
    </row>
    <row r="146" spans="1:1">
      <c r="A146" s="30" t="s">
        <v>530</v>
      </c>
    </row>
    <row r="147" spans="1:1">
      <c r="A147" s="30" t="s">
        <v>169</v>
      </c>
    </row>
    <row r="148" spans="1:1">
      <c r="A148" s="30" t="s">
        <v>1982</v>
      </c>
    </row>
    <row r="149" spans="1:1">
      <c r="A149" s="30" t="s">
        <v>739</v>
      </c>
    </row>
    <row r="150" spans="1:1">
      <c r="A150" s="30" t="s">
        <v>1591</v>
      </c>
    </row>
    <row r="151" spans="1:1">
      <c r="A151" s="30" t="s">
        <v>1590</v>
      </c>
    </row>
    <row r="152" spans="1:1">
      <c r="A152" s="30" t="s">
        <v>1981</v>
      </c>
    </row>
    <row r="153" spans="1:1">
      <c r="A153" s="30" t="s">
        <v>1984</v>
      </c>
    </row>
    <row r="154" spans="1:1">
      <c r="A154" s="30" t="s">
        <v>2552</v>
      </c>
    </row>
    <row r="155" spans="1:1">
      <c r="A155" s="30" t="s">
        <v>2553</v>
      </c>
    </row>
    <row r="156" spans="1:1">
      <c r="A156" s="30" t="s">
        <v>1920</v>
      </c>
    </row>
    <row r="157" spans="1:1">
      <c r="A157" s="30" t="s">
        <v>832</v>
      </c>
    </row>
    <row r="158" spans="1:1">
      <c r="A158" s="30" t="s">
        <v>2000</v>
      </c>
    </row>
    <row r="159" spans="1:1">
      <c r="A159" s="30" t="s">
        <v>776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50"/>
  <sheetViews>
    <sheetView workbookViewId="0">
      <pane ySplit="1" topLeftCell="A32" activePane="bottomLeft" state="frozen"/>
      <selection pane="bottomLeft" activeCell="C47" sqref="A47:C47"/>
    </sheetView>
  </sheetViews>
  <sheetFormatPr defaultRowHeight="15"/>
  <cols>
    <col min="1" max="1" width="32.85546875" customWidth="1"/>
    <col min="2" max="3" width="35.7109375" customWidth="1"/>
    <col min="4" max="4" width="51.42578125" customWidth="1"/>
    <col min="5" max="5" width="9.140625" customWidth="1"/>
    <col min="7" max="7" width="15.7109375" customWidth="1"/>
    <col min="8" max="8" width="9.140625" customWidth="1"/>
  </cols>
  <sheetData>
    <row r="1" spans="1:7" s="18" customFormat="1" ht="15.75" thickBot="1">
      <c r="A1" s="7" t="s">
        <v>1364</v>
      </c>
      <c r="B1" s="14" t="s">
        <v>1376</v>
      </c>
      <c r="C1" s="14" t="s">
        <v>1377</v>
      </c>
      <c r="D1" s="9" t="s">
        <v>1508</v>
      </c>
      <c r="E1" s="47"/>
    </row>
    <row r="2" spans="1:7" s="1" customFormat="1" ht="15.75" thickBot="1">
      <c r="A2" s="1" t="s">
        <v>1510</v>
      </c>
      <c r="B2" s="1" t="s">
        <v>1439</v>
      </c>
      <c r="C2" s="1" t="s">
        <v>1511</v>
      </c>
      <c r="D2" s="1" t="s">
        <v>1513</v>
      </c>
      <c r="F2" s="23"/>
      <c r="G2" s="23"/>
    </row>
    <row r="3" spans="1:7" s="1" customFormat="1">
      <c r="A3" s="26" t="s">
        <v>1510</v>
      </c>
      <c r="B3" s="26" t="s">
        <v>1439</v>
      </c>
      <c r="C3" s="26" t="s">
        <v>1511</v>
      </c>
      <c r="D3" s="26" t="s">
        <v>1514</v>
      </c>
      <c r="F3" s="35"/>
      <c r="G3" s="22" t="s">
        <v>72</v>
      </c>
    </row>
    <row r="4" spans="1:7" s="1" customFormat="1">
      <c r="A4" s="1" t="s">
        <v>1447</v>
      </c>
      <c r="B4" s="1" t="s">
        <v>1432</v>
      </c>
      <c r="C4" s="1" t="s">
        <v>1512</v>
      </c>
      <c r="D4" s="1" t="s">
        <v>1514</v>
      </c>
      <c r="F4" s="43"/>
      <c r="G4" s="44" t="s">
        <v>73</v>
      </c>
    </row>
    <row r="5" spans="1:7" s="1" customFormat="1" ht="15.75" thickBot="1">
      <c r="A5" s="26" t="s">
        <v>1447</v>
      </c>
      <c r="B5" s="26" t="s">
        <v>1432</v>
      </c>
      <c r="C5" s="26" t="s">
        <v>1512</v>
      </c>
      <c r="D5" s="26" t="s">
        <v>1513</v>
      </c>
      <c r="F5" s="51"/>
      <c r="G5" s="45" t="s">
        <v>929</v>
      </c>
    </row>
    <row r="6" spans="1:7" s="1" customFormat="1">
      <c r="A6" s="10" t="s">
        <v>1517</v>
      </c>
      <c r="B6" s="10" t="s">
        <v>1384</v>
      </c>
      <c r="C6" s="10" t="s">
        <v>1458</v>
      </c>
      <c r="D6" s="10" t="s">
        <v>1515</v>
      </c>
    </row>
    <row r="7" spans="1:7" s="1" customFormat="1">
      <c r="A7" s="26" t="s">
        <v>1517</v>
      </c>
      <c r="B7" s="26" t="s">
        <v>1384</v>
      </c>
      <c r="C7" s="26" t="s">
        <v>1458</v>
      </c>
      <c r="D7" s="26" t="s">
        <v>1516</v>
      </c>
    </row>
    <row r="8" spans="1:7" s="10" customFormat="1">
      <c r="A8" s="10" t="s">
        <v>9</v>
      </c>
      <c r="B8" s="10" t="s">
        <v>1455</v>
      </c>
      <c r="C8" s="10" t="s">
        <v>913</v>
      </c>
      <c r="D8" s="10" t="s">
        <v>1516</v>
      </c>
    </row>
    <row r="9" spans="1:7" s="10" customFormat="1">
      <c r="A9" s="26" t="s">
        <v>9</v>
      </c>
      <c r="B9" s="26" t="s">
        <v>1455</v>
      </c>
      <c r="C9" s="26" t="s">
        <v>915</v>
      </c>
      <c r="D9" s="26" t="s">
        <v>1515</v>
      </c>
    </row>
    <row r="10" spans="1:7" s="1" customFormat="1">
      <c r="A10" s="1" t="s">
        <v>253</v>
      </c>
      <c r="B10" s="1" t="s">
        <v>256</v>
      </c>
      <c r="C10" s="1" t="s">
        <v>1518</v>
      </c>
      <c r="D10" s="1" t="s">
        <v>1519</v>
      </c>
    </row>
    <row r="11" spans="1:7" s="1" customFormat="1">
      <c r="A11" s="26" t="s">
        <v>253</v>
      </c>
      <c r="B11" s="26" t="s">
        <v>256</v>
      </c>
      <c r="C11" s="26" t="s">
        <v>1518</v>
      </c>
      <c r="D11" s="26" t="s">
        <v>1520</v>
      </c>
    </row>
    <row r="12" spans="1:7" s="1" customFormat="1">
      <c r="A12" s="1" t="s">
        <v>228</v>
      </c>
      <c r="B12" s="1" t="s">
        <v>254</v>
      </c>
      <c r="C12" s="1" t="s">
        <v>1449</v>
      </c>
      <c r="D12" s="1" t="s">
        <v>1520</v>
      </c>
    </row>
    <row r="13" spans="1:7" s="1" customFormat="1">
      <c r="A13" s="26" t="s">
        <v>228</v>
      </c>
      <c r="B13" s="26" t="s">
        <v>309</v>
      </c>
      <c r="C13" s="26" t="s">
        <v>1449</v>
      </c>
      <c r="D13" s="26" t="s">
        <v>1519</v>
      </c>
    </row>
    <row r="14" spans="1:7" s="10" customFormat="1">
      <c r="A14" s="10" t="s">
        <v>1375</v>
      </c>
      <c r="B14" s="10" t="s">
        <v>1390</v>
      </c>
      <c r="C14" s="10" t="s">
        <v>1387</v>
      </c>
      <c r="D14" s="10" t="s">
        <v>1525</v>
      </c>
    </row>
    <row r="15" spans="1:7" s="10" customFormat="1">
      <c r="A15" s="26" t="s">
        <v>1610</v>
      </c>
      <c r="B15" s="26" t="s">
        <v>1387</v>
      </c>
      <c r="C15" s="26" t="s">
        <v>1386</v>
      </c>
      <c r="D15" s="26" t="s">
        <v>1879</v>
      </c>
    </row>
    <row r="16" spans="1:7" s="10" customFormat="1">
      <c r="A16" s="10" t="s">
        <v>1374</v>
      </c>
      <c r="B16" s="10" t="s">
        <v>1387</v>
      </c>
      <c r="C16" s="10" t="s">
        <v>1386</v>
      </c>
      <c r="D16" s="10" t="s">
        <v>1879</v>
      </c>
    </row>
    <row r="17" spans="1:7" s="10" customFormat="1">
      <c r="A17" s="26" t="s">
        <v>1611</v>
      </c>
      <c r="B17" s="26" t="s">
        <v>1610</v>
      </c>
      <c r="C17" s="26" t="s">
        <v>1388</v>
      </c>
      <c r="D17" s="26" t="s">
        <v>1525</v>
      </c>
    </row>
    <row r="18" spans="1:7" s="1" customFormat="1">
      <c r="A18" s="1" t="s">
        <v>89</v>
      </c>
      <c r="B18" s="1" t="s">
        <v>1521</v>
      </c>
      <c r="C18" s="1" t="s">
        <v>500</v>
      </c>
      <c r="D18" s="1" t="s">
        <v>1523</v>
      </c>
    </row>
    <row r="19" spans="1:7" s="1" customFormat="1">
      <c r="A19" s="26" t="s">
        <v>89</v>
      </c>
      <c r="B19" s="26" t="s">
        <v>1521</v>
      </c>
      <c r="C19" s="26" t="s">
        <v>500</v>
      </c>
      <c r="D19" s="26" t="s">
        <v>1524</v>
      </c>
    </row>
    <row r="20" spans="1:7" s="1" customFormat="1">
      <c r="A20" s="1" t="s">
        <v>59</v>
      </c>
      <c r="B20" s="1" t="s">
        <v>1452</v>
      </c>
      <c r="C20" s="1" t="s">
        <v>1522</v>
      </c>
      <c r="D20" s="1" t="s">
        <v>1524</v>
      </c>
    </row>
    <row r="21" spans="1:7" s="1" customFormat="1">
      <c r="A21" s="26" t="s">
        <v>59</v>
      </c>
      <c r="B21" s="26" t="s">
        <v>1452</v>
      </c>
      <c r="C21" s="26" t="s">
        <v>1522</v>
      </c>
      <c r="D21" s="26" t="s">
        <v>1523</v>
      </c>
    </row>
    <row r="22" spans="1:7" s="1" customFormat="1">
      <c r="A22" s="1" t="s">
        <v>1422</v>
      </c>
      <c r="B22" s="1" t="s">
        <v>1025</v>
      </c>
      <c r="C22" s="1" t="s">
        <v>1424</v>
      </c>
    </row>
    <row r="23" spans="1:7" s="1" customFormat="1">
      <c r="A23" s="26" t="s">
        <v>1422</v>
      </c>
      <c r="B23" s="26" t="s">
        <v>1025</v>
      </c>
      <c r="C23" s="26" t="s">
        <v>1425</v>
      </c>
      <c r="D23" s="26"/>
    </row>
    <row r="24" spans="1:7" s="1" customFormat="1">
      <c r="A24" s="10" t="s">
        <v>119</v>
      </c>
      <c r="B24" s="10" t="s">
        <v>1429</v>
      </c>
      <c r="C24" s="10" t="s">
        <v>1430</v>
      </c>
      <c r="D24" s="10"/>
    </row>
    <row r="25" spans="1:7" s="1" customFormat="1">
      <c r="A25" s="26" t="s">
        <v>119</v>
      </c>
      <c r="B25" s="26" t="s">
        <v>1429</v>
      </c>
      <c r="C25" s="26" t="s">
        <v>1424</v>
      </c>
      <c r="D25" s="26"/>
    </row>
    <row r="26" spans="1:7" s="1" customFormat="1">
      <c r="A26" s="1" t="s">
        <v>1168</v>
      </c>
      <c r="B26" s="1" t="s">
        <v>119</v>
      </c>
      <c r="C26" s="1" t="s">
        <v>1425</v>
      </c>
      <c r="F26" s="23"/>
      <c r="G26" s="23"/>
    </row>
    <row r="27" spans="1:7" s="1" customFormat="1">
      <c r="A27" s="26" t="s">
        <v>1169</v>
      </c>
      <c r="B27" s="26" t="s">
        <v>119</v>
      </c>
      <c r="C27" s="26" t="s">
        <v>1025</v>
      </c>
      <c r="D27" s="26"/>
      <c r="F27" s="23"/>
      <c r="G27" s="23"/>
    </row>
    <row r="28" spans="1:7" s="1" customFormat="1">
      <c r="A28" s="1" t="s">
        <v>712</v>
      </c>
      <c r="B28" s="1" t="s">
        <v>1431</v>
      </c>
      <c r="C28" s="1" t="s">
        <v>1432</v>
      </c>
      <c r="F28" s="23"/>
      <c r="G28" s="23"/>
    </row>
    <row r="29" spans="1:7" s="1" customFormat="1">
      <c r="A29" s="26" t="s">
        <v>712</v>
      </c>
      <c r="B29" s="26" t="s">
        <v>1422</v>
      </c>
      <c r="C29" s="26" t="s">
        <v>1433</v>
      </c>
      <c r="D29" s="26"/>
      <c r="F29" s="23"/>
      <c r="G29" s="23"/>
    </row>
    <row r="30" spans="1:7" s="1" customFormat="1">
      <c r="A30" s="1" t="s">
        <v>1176</v>
      </c>
      <c r="B30" s="1" t="s">
        <v>119</v>
      </c>
      <c r="C30" s="1" t="s">
        <v>1423</v>
      </c>
      <c r="F30" s="23"/>
      <c r="G30" s="23"/>
    </row>
    <row r="31" spans="1:7" s="1" customFormat="1">
      <c r="A31" s="26" t="s">
        <v>1176</v>
      </c>
      <c r="B31" s="26" t="s">
        <v>119</v>
      </c>
      <c r="C31" s="26" t="s">
        <v>1434</v>
      </c>
      <c r="D31" s="26"/>
      <c r="F31" s="23"/>
      <c r="G31" s="23"/>
    </row>
    <row r="32" spans="1:7" s="1" customFormat="1">
      <c r="A32" s="1" t="s">
        <v>1702</v>
      </c>
      <c r="B32" s="1" t="s">
        <v>712</v>
      </c>
      <c r="C32" s="1" t="s">
        <v>1455</v>
      </c>
      <c r="F32" s="23"/>
      <c r="G32" s="23"/>
    </row>
    <row r="33" spans="1:7" s="1" customFormat="1">
      <c r="A33" s="26" t="s">
        <v>1702</v>
      </c>
      <c r="B33" s="26" t="s">
        <v>1703</v>
      </c>
      <c r="C33" s="26" t="s">
        <v>1455</v>
      </c>
      <c r="D33" s="26"/>
      <c r="F33" s="23"/>
      <c r="G33" s="23"/>
    </row>
    <row r="34" spans="1:7" s="1" customFormat="1">
      <c r="A34" s="1" t="s">
        <v>1019</v>
      </c>
      <c r="B34" s="1" t="s">
        <v>1435</v>
      </c>
      <c r="C34" s="1" t="s">
        <v>1436</v>
      </c>
      <c r="F34" s="23"/>
      <c r="G34" s="23"/>
    </row>
    <row r="35" spans="1:7" s="1" customFormat="1">
      <c r="A35" s="26" t="s">
        <v>1272</v>
      </c>
      <c r="B35" s="26" t="s">
        <v>1437</v>
      </c>
      <c r="C35" s="26" t="s">
        <v>1436</v>
      </c>
      <c r="D35" s="26"/>
      <c r="F35" s="23"/>
      <c r="G35" s="23"/>
    </row>
    <row r="36" spans="1:7" s="1" customFormat="1">
      <c r="A36" s="1" t="s">
        <v>1583</v>
      </c>
      <c r="B36" s="1" t="s">
        <v>1021</v>
      </c>
      <c r="C36" s="1" t="s">
        <v>2119</v>
      </c>
      <c r="F36" s="23"/>
      <c r="G36" s="23"/>
    </row>
    <row r="37" spans="1:7" s="1" customFormat="1">
      <c r="A37" s="26" t="s">
        <v>1583</v>
      </c>
      <c r="B37" s="26" t="s">
        <v>1983</v>
      </c>
      <c r="C37" s="26" t="s">
        <v>2119</v>
      </c>
      <c r="D37" s="26"/>
      <c r="F37" s="23"/>
      <c r="G37" s="23"/>
    </row>
    <row r="38" spans="1:7" s="1" customFormat="1">
      <c r="A38" s="1" t="s">
        <v>1371</v>
      </c>
      <c r="B38" s="1" t="s">
        <v>1021</v>
      </c>
      <c r="C38" s="1" t="s">
        <v>1382</v>
      </c>
      <c r="F38" s="23"/>
      <c r="G38" s="23"/>
    </row>
    <row r="39" spans="1:7" s="1" customFormat="1">
      <c r="A39" s="26" t="s">
        <v>1371</v>
      </c>
      <c r="B39" s="26" t="s">
        <v>1024</v>
      </c>
      <c r="C39" s="26" t="s">
        <v>1704</v>
      </c>
      <c r="D39" s="26"/>
      <c r="F39" s="23"/>
      <c r="G39" s="23"/>
    </row>
    <row r="40" spans="1:7" s="1" customFormat="1">
      <c r="A40" s="1" t="s">
        <v>1372</v>
      </c>
      <c r="B40" s="1" t="s">
        <v>1389</v>
      </c>
      <c r="C40" s="1" t="s">
        <v>1387</v>
      </c>
    </row>
    <row r="41" spans="1:7" s="10" customFormat="1">
      <c r="A41" s="26" t="s">
        <v>1372</v>
      </c>
      <c r="B41" s="26" t="s">
        <v>1383</v>
      </c>
      <c r="C41" s="26" t="s">
        <v>1384</v>
      </c>
      <c r="D41" s="26"/>
    </row>
    <row r="42" spans="1:7" s="1" customFormat="1">
      <c r="A42" s="1" t="s">
        <v>1012</v>
      </c>
      <c r="B42" s="1" t="s">
        <v>1453</v>
      </c>
      <c r="C42" s="1" t="s">
        <v>1379</v>
      </c>
    </row>
    <row r="43" spans="1:7" s="1" customFormat="1">
      <c r="A43" s="26" t="s">
        <v>1012</v>
      </c>
      <c r="B43" s="26" t="s">
        <v>1453</v>
      </c>
      <c r="C43" s="26" t="s">
        <v>1450</v>
      </c>
      <c r="D43" s="26"/>
    </row>
    <row r="44" spans="1:7" s="1" customFormat="1">
      <c r="A44" s="1" t="s">
        <v>880</v>
      </c>
      <c r="B44" s="1" t="s">
        <v>1381</v>
      </c>
      <c r="C44" s="1" t="s">
        <v>2005</v>
      </c>
    </row>
    <row r="45" spans="1:7" s="1" customFormat="1">
      <c r="A45" s="26" t="s">
        <v>881</v>
      </c>
      <c r="B45" s="26" t="s">
        <v>1379</v>
      </c>
      <c r="C45" s="26" t="s">
        <v>2005</v>
      </c>
      <c r="D45" s="26"/>
    </row>
    <row r="46" spans="1:7" s="1" customFormat="1">
      <c r="A46" s="1" t="s">
        <v>885</v>
      </c>
      <c r="B46" s="1" t="s">
        <v>1008</v>
      </c>
      <c r="C46" s="1" t="s">
        <v>1455</v>
      </c>
    </row>
    <row r="47" spans="1:7" s="1" customFormat="1">
      <c r="A47" s="26" t="s">
        <v>885</v>
      </c>
      <c r="B47" s="26" t="s">
        <v>1531</v>
      </c>
      <c r="C47" s="26" t="s">
        <v>1455</v>
      </c>
      <c r="D47" s="26"/>
    </row>
    <row r="48" spans="1:7" s="1" customFormat="1">
      <c r="A48" s="1" t="s">
        <v>1014</v>
      </c>
      <c r="B48" s="1" t="s">
        <v>881</v>
      </c>
      <c r="C48" s="1" t="s">
        <v>1447</v>
      </c>
    </row>
    <row r="49" spans="1:4" s="1" customFormat="1">
      <c r="A49" s="26" t="s">
        <v>2183</v>
      </c>
      <c r="B49" s="26" t="s">
        <v>1010</v>
      </c>
      <c r="C49" s="26" t="s">
        <v>944</v>
      </c>
      <c r="D49" s="26"/>
    </row>
    <row r="50" spans="1:4" s="1" customFormat="1">
      <c r="A50" s="1" t="s">
        <v>1001</v>
      </c>
      <c r="B50" s="1" t="s">
        <v>1012</v>
      </c>
      <c r="C50" s="1" t="s">
        <v>1177</v>
      </c>
    </row>
    <row r="51" spans="1:4" s="1" customFormat="1">
      <c r="A51" s="26" t="s">
        <v>1723</v>
      </c>
      <c r="B51" s="26" t="s">
        <v>1010</v>
      </c>
      <c r="C51" s="26" t="s">
        <v>1177</v>
      </c>
      <c r="D51" s="26"/>
    </row>
    <row r="52" spans="1:4" s="1" customFormat="1">
      <c r="A52" s="1" t="s">
        <v>1724</v>
      </c>
      <c r="B52" s="1" t="s">
        <v>1012</v>
      </c>
      <c r="C52" s="1" t="s">
        <v>1409</v>
      </c>
    </row>
    <row r="53" spans="1:4" s="1" customFormat="1">
      <c r="A53" s="26" t="s">
        <v>1724</v>
      </c>
      <c r="B53" s="26" t="s">
        <v>1010</v>
      </c>
      <c r="C53" s="26" t="s">
        <v>1409</v>
      </c>
      <c r="D53" s="26"/>
    </row>
    <row r="54" spans="1:4" s="1" customFormat="1">
      <c r="A54" s="1" t="s">
        <v>1457</v>
      </c>
      <c r="B54" s="1" t="s">
        <v>1431</v>
      </c>
      <c r="C54" s="1" t="s">
        <v>2185</v>
      </c>
    </row>
    <row r="55" spans="1:4" s="1" customFormat="1">
      <c r="A55" s="26" t="s">
        <v>1457</v>
      </c>
      <c r="B55" s="26" t="s">
        <v>2372</v>
      </c>
      <c r="C55" s="26" t="s">
        <v>2185</v>
      </c>
      <c r="D55" s="26"/>
    </row>
    <row r="56" spans="1:4" s="1" customFormat="1">
      <c r="A56" s="1" t="s">
        <v>1370</v>
      </c>
      <c r="B56" s="1" t="s">
        <v>1379</v>
      </c>
      <c r="C56" s="1" t="s">
        <v>1378</v>
      </c>
    </row>
    <row r="57" spans="1:4" s="1" customFormat="1">
      <c r="A57" s="26" t="s">
        <v>1370</v>
      </c>
      <c r="B57" s="26" t="s">
        <v>1381</v>
      </c>
      <c r="C57" s="26" t="s">
        <v>1380</v>
      </c>
      <c r="D57" s="26"/>
    </row>
    <row r="58" spans="1:4" s="1" customFormat="1">
      <c r="A58" s="1" t="s">
        <v>152</v>
      </c>
      <c r="B58" s="1" t="s">
        <v>310</v>
      </c>
      <c r="C58" s="1" t="s">
        <v>319</v>
      </c>
    </row>
    <row r="59" spans="1:4" s="1" customFormat="1">
      <c r="A59" s="26" t="s">
        <v>152</v>
      </c>
      <c r="B59" s="26" t="s">
        <v>313</v>
      </c>
      <c r="C59" s="26" t="s">
        <v>319</v>
      </c>
      <c r="D59" s="26"/>
    </row>
    <row r="60" spans="1:4" s="1" customFormat="1">
      <c r="A60" s="1" t="s">
        <v>30</v>
      </c>
      <c r="B60" s="1" t="s">
        <v>179</v>
      </c>
      <c r="C60" s="1" t="s">
        <v>1450</v>
      </c>
    </row>
    <row r="61" spans="1:4" s="1" customFormat="1">
      <c r="A61" s="26" t="s">
        <v>270</v>
      </c>
      <c r="B61" s="26" t="s">
        <v>176</v>
      </c>
      <c r="C61" s="26" t="s">
        <v>1450</v>
      </c>
      <c r="D61" s="26"/>
    </row>
    <row r="62" spans="1:4" s="1" customFormat="1">
      <c r="A62" s="1" t="s">
        <v>235</v>
      </c>
      <c r="B62" s="1" t="s">
        <v>228</v>
      </c>
      <c r="C62" s="1" t="s">
        <v>1007</v>
      </c>
    </row>
    <row r="63" spans="1:4" s="1" customFormat="1">
      <c r="A63" s="26" t="s">
        <v>235</v>
      </c>
      <c r="B63" s="26" t="s">
        <v>270</v>
      </c>
      <c r="C63" s="26" t="s">
        <v>1007</v>
      </c>
      <c r="D63" s="26"/>
    </row>
    <row r="64" spans="1:4" s="1" customFormat="1">
      <c r="A64" s="1" t="s">
        <v>11</v>
      </c>
      <c r="B64" s="1" t="s">
        <v>229</v>
      </c>
      <c r="C64" s="1" t="s">
        <v>1451</v>
      </c>
    </row>
    <row r="65" spans="1:4" s="1" customFormat="1">
      <c r="A65" s="26" t="s">
        <v>141</v>
      </c>
      <c r="B65" s="26" t="s">
        <v>239</v>
      </c>
      <c r="C65" s="26" t="s">
        <v>1452</v>
      </c>
      <c r="D65" s="26"/>
    </row>
    <row r="66" spans="1:4" s="1" customFormat="1">
      <c r="A66" s="1" t="s">
        <v>47</v>
      </c>
      <c r="B66" s="1" t="s">
        <v>176</v>
      </c>
      <c r="C66" s="1" t="s">
        <v>10</v>
      </c>
    </row>
    <row r="67" spans="1:4" s="1" customFormat="1">
      <c r="A67" s="26" t="s">
        <v>47</v>
      </c>
      <c r="B67" s="26" t="s">
        <v>1866</v>
      </c>
      <c r="C67" s="26" t="s">
        <v>10</v>
      </c>
      <c r="D67" s="26"/>
    </row>
    <row r="68" spans="1:4" s="1" customFormat="1">
      <c r="A68" s="1" t="s">
        <v>214</v>
      </c>
      <c r="B68" s="1" t="s">
        <v>1177</v>
      </c>
      <c r="C68" s="1" t="s">
        <v>177</v>
      </c>
    </row>
    <row r="69" spans="1:4" s="1" customFormat="1">
      <c r="A69" s="26" t="s">
        <v>214</v>
      </c>
      <c r="B69" s="26" t="s">
        <v>1177</v>
      </c>
      <c r="C69" s="26" t="s">
        <v>254</v>
      </c>
      <c r="D69" s="26"/>
    </row>
    <row r="70" spans="1:4" s="10" customFormat="1">
      <c r="A70" s="10" t="s">
        <v>64</v>
      </c>
      <c r="B70" s="10" t="s">
        <v>63</v>
      </c>
      <c r="C70" s="10" t="s">
        <v>1446</v>
      </c>
    </row>
    <row r="71" spans="1:4" s="10" customFormat="1">
      <c r="A71" s="26" t="s">
        <v>64</v>
      </c>
      <c r="B71" s="26" t="s">
        <v>237</v>
      </c>
      <c r="C71" s="26" t="s">
        <v>1446</v>
      </c>
      <c r="D71" s="26"/>
    </row>
    <row r="72" spans="1:4" s="10" customFormat="1">
      <c r="A72" s="10" t="s">
        <v>65</v>
      </c>
      <c r="B72" s="10" t="s">
        <v>64</v>
      </c>
      <c r="C72" s="10" t="s">
        <v>1447</v>
      </c>
      <c r="D72" s="10" t="s">
        <v>1529</v>
      </c>
    </row>
    <row r="73" spans="1:4" s="10" customFormat="1">
      <c r="A73" s="26" t="s">
        <v>65</v>
      </c>
      <c r="B73" s="26" t="s">
        <v>64</v>
      </c>
      <c r="C73" s="26" t="s">
        <v>1448</v>
      </c>
      <c r="D73" s="26" t="s">
        <v>1526</v>
      </c>
    </row>
    <row r="74" spans="1:4" s="10" customFormat="1">
      <c r="A74" s="10" t="s">
        <v>27</v>
      </c>
      <c r="B74" s="10" t="s">
        <v>6</v>
      </c>
      <c r="C74" s="10" t="s">
        <v>1447</v>
      </c>
      <c r="D74" s="10" t="s">
        <v>1529</v>
      </c>
    </row>
    <row r="75" spans="1:4" s="10" customFormat="1">
      <c r="A75" s="26" t="s">
        <v>27</v>
      </c>
      <c r="B75" s="26" t="s">
        <v>6</v>
      </c>
      <c r="C75" s="26" t="s">
        <v>1456</v>
      </c>
      <c r="D75" s="26" t="s">
        <v>1526</v>
      </c>
    </row>
    <row r="76" spans="1:4" s="10" customFormat="1">
      <c r="A76" s="10" t="s">
        <v>25</v>
      </c>
      <c r="B76" s="10" t="s">
        <v>6</v>
      </c>
      <c r="C76" s="10" t="s">
        <v>1455</v>
      </c>
    </row>
    <row r="77" spans="1:4" s="10" customFormat="1">
      <c r="A77" s="26" t="s">
        <v>25</v>
      </c>
      <c r="B77" s="26" t="s">
        <v>6</v>
      </c>
      <c r="C77" s="26" t="s">
        <v>1390</v>
      </c>
      <c r="D77" s="26"/>
    </row>
    <row r="78" spans="1:4" s="10" customFormat="1">
      <c r="A78" s="10" t="s">
        <v>8</v>
      </c>
      <c r="B78" s="10" t="s">
        <v>59</v>
      </c>
      <c r="C78" s="10" t="s">
        <v>1455</v>
      </c>
    </row>
    <row r="79" spans="1:4" s="10" customFormat="1">
      <c r="A79" s="26" t="s">
        <v>8</v>
      </c>
      <c r="B79" s="26" t="s">
        <v>59</v>
      </c>
      <c r="C79" s="26" t="s">
        <v>9</v>
      </c>
      <c r="D79" s="26"/>
    </row>
    <row r="80" spans="1:4" s="10" customFormat="1">
      <c r="A80" s="10" t="s">
        <v>7</v>
      </c>
      <c r="B80" s="10" t="s">
        <v>59</v>
      </c>
      <c r="C80" s="10" t="s">
        <v>1457</v>
      </c>
    </row>
    <row r="81" spans="1:4" s="10" customFormat="1">
      <c r="A81" s="26" t="s">
        <v>7</v>
      </c>
      <c r="B81" s="26" t="s">
        <v>59</v>
      </c>
      <c r="C81" s="26" t="s">
        <v>1007</v>
      </c>
      <c r="D81" s="26"/>
    </row>
    <row r="82" spans="1:4" s="10" customFormat="1">
      <c r="A82" s="10" t="s">
        <v>76</v>
      </c>
      <c r="B82" s="10" t="s">
        <v>1209</v>
      </c>
      <c r="C82" s="10" t="s">
        <v>1387</v>
      </c>
    </row>
    <row r="83" spans="1:4" s="10" customFormat="1">
      <c r="A83" s="26" t="s">
        <v>76</v>
      </c>
      <c r="B83" s="26" t="s">
        <v>1973</v>
      </c>
      <c r="C83" s="26" t="s">
        <v>1387</v>
      </c>
      <c r="D83" s="26"/>
    </row>
    <row r="84" spans="1:4" s="10" customFormat="1">
      <c r="A84" s="10" t="s">
        <v>1373</v>
      </c>
      <c r="B84" s="10" t="s">
        <v>1388</v>
      </c>
      <c r="C84" s="10" t="s">
        <v>1386</v>
      </c>
    </row>
    <row r="85" spans="1:4" s="10" customFormat="1">
      <c r="A85" s="26" t="s">
        <v>1373</v>
      </c>
      <c r="B85" s="26" t="s">
        <v>1386</v>
      </c>
      <c r="C85" s="26" t="s">
        <v>2005</v>
      </c>
      <c r="D85" s="26"/>
    </row>
    <row r="86" spans="1:4" s="10" customFormat="1">
      <c r="A86" s="10" t="s">
        <v>134</v>
      </c>
      <c r="B86" s="10" t="s">
        <v>132</v>
      </c>
      <c r="C86" s="10" t="s">
        <v>1444</v>
      </c>
    </row>
    <row r="87" spans="1:4" s="10" customFormat="1">
      <c r="A87" s="26" t="s">
        <v>134</v>
      </c>
      <c r="B87" s="26" t="s">
        <v>171</v>
      </c>
      <c r="C87" s="26" t="s">
        <v>1445</v>
      </c>
      <c r="D87" s="26"/>
    </row>
    <row r="88" spans="1:4" s="10" customFormat="1">
      <c r="A88" s="10" t="s">
        <v>195</v>
      </c>
      <c r="B88" s="10" t="s">
        <v>1442</v>
      </c>
      <c r="C88" s="10" t="s">
        <v>561</v>
      </c>
    </row>
    <row r="89" spans="1:4" s="10" customFormat="1" ht="15" customHeight="1">
      <c r="A89" s="26" t="s">
        <v>195</v>
      </c>
      <c r="B89" s="26" t="s">
        <v>1442</v>
      </c>
      <c r="C89" s="26" t="s">
        <v>137</v>
      </c>
      <c r="D89" s="26"/>
    </row>
    <row r="90" spans="1:4" s="10" customFormat="1">
      <c r="A90" s="48" t="s">
        <v>95</v>
      </c>
      <c r="B90" s="48" t="s">
        <v>309</v>
      </c>
      <c r="C90" s="48" t="s">
        <v>64</v>
      </c>
      <c r="D90" s="48"/>
    </row>
    <row r="91" spans="1:4" s="10" customFormat="1">
      <c r="A91" s="26" t="s">
        <v>1999</v>
      </c>
      <c r="B91" s="26" t="s">
        <v>177</v>
      </c>
      <c r="C91" s="26" t="s">
        <v>237</v>
      </c>
      <c r="D91" s="26" t="s">
        <v>1739</v>
      </c>
    </row>
    <row r="92" spans="1:4" s="10" customFormat="1">
      <c r="A92" s="48" t="s">
        <v>899</v>
      </c>
      <c r="B92" s="48" t="s">
        <v>894</v>
      </c>
      <c r="C92" s="48" t="s">
        <v>78</v>
      </c>
      <c r="D92" s="48"/>
    </row>
    <row r="93" spans="1:4" s="10" customFormat="1">
      <c r="A93" s="26" t="s">
        <v>899</v>
      </c>
      <c r="B93" s="26" t="s">
        <v>894</v>
      </c>
      <c r="C93" s="26" t="s">
        <v>1390</v>
      </c>
      <c r="D93" s="26" t="s">
        <v>1946</v>
      </c>
    </row>
    <row r="94" spans="1:4" s="10" customFormat="1">
      <c r="A94" s="48" t="s">
        <v>96</v>
      </c>
      <c r="B94" s="48" t="s">
        <v>120</v>
      </c>
      <c r="C94" s="48" t="s">
        <v>1386</v>
      </c>
      <c r="D94" s="48"/>
    </row>
    <row r="95" spans="1:4" s="10" customFormat="1">
      <c r="A95" s="26" t="s">
        <v>96</v>
      </c>
      <c r="B95" s="26" t="s">
        <v>120</v>
      </c>
      <c r="C95" s="26" t="s">
        <v>1454</v>
      </c>
      <c r="D95" s="26" t="s">
        <v>1738</v>
      </c>
    </row>
    <row r="96" spans="1:4" s="10" customFormat="1">
      <c r="A96" s="48" t="s">
        <v>1949</v>
      </c>
      <c r="B96" s="48" t="s">
        <v>1531</v>
      </c>
      <c r="C96" s="48" t="s">
        <v>1442</v>
      </c>
      <c r="D96" s="48"/>
    </row>
    <row r="97" spans="1:4" s="10" customFormat="1">
      <c r="A97" s="26" t="s">
        <v>1949</v>
      </c>
      <c r="B97" s="26" t="s">
        <v>1531</v>
      </c>
      <c r="C97" s="26" t="s">
        <v>1384</v>
      </c>
      <c r="D97" s="26" t="s">
        <v>1900</v>
      </c>
    </row>
    <row r="98" spans="1:4" s="10" customFormat="1">
      <c r="A98" s="40" t="s">
        <v>1905</v>
      </c>
      <c r="B98" s="40" t="s">
        <v>1910</v>
      </c>
      <c r="C98" s="40" t="s">
        <v>1390</v>
      </c>
      <c r="D98" s="40" t="s">
        <v>1912</v>
      </c>
    </row>
    <row r="99" spans="1:4" s="10" customFormat="1">
      <c r="A99" s="40" t="s">
        <v>1906</v>
      </c>
      <c r="B99" s="40" t="s">
        <v>1911</v>
      </c>
      <c r="C99" s="40" t="s">
        <v>1390</v>
      </c>
      <c r="D99" s="40" t="s">
        <v>1912</v>
      </c>
    </row>
    <row r="100" spans="1:4" s="10" customFormat="1">
      <c r="A100" s="40" t="s">
        <v>1907</v>
      </c>
      <c r="B100" s="40" t="s">
        <v>1443</v>
      </c>
      <c r="C100" s="40" t="s">
        <v>1390</v>
      </c>
      <c r="D100" s="40" t="s">
        <v>1903</v>
      </c>
    </row>
    <row r="101" spans="1:4" s="10" customFormat="1">
      <c r="A101" s="40" t="s">
        <v>527</v>
      </c>
      <c r="B101" s="40" t="s">
        <v>89</v>
      </c>
      <c r="C101" s="40" t="s">
        <v>1209</v>
      </c>
      <c r="D101" s="40" t="s">
        <v>1970</v>
      </c>
    </row>
    <row r="102" spans="1:4" s="10" customFormat="1">
      <c r="A102" s="40" t="s">
        <v>217</v>
      </c>
      <c r="B102" s="40" t="s">
        <v>108</v>
      </c>
      <c r="C102" s="40" t="s">
        <v>1454</v>
      </c>
      <c r="D102" s="40" t="s">
        <v>1970</v>
      </c>
    </row>
    <row r="103" spans="1:4" s="10" customFormat="1">
      <c r="A103" s="40" t="s">
        <v>648</v>
      </c>
      <c r="B103" s="40" t="s">
        <v>172</v>
      </c>
      <c r="C103" s="40" t="s">
        <v>1452</v>
      </c>
      <c r="D103" s="40" t="s">
        <v>1743</v>
      </c>
    </row>
    <row r="104" spans="1:4" s="10" customFormat="1">
      <c r="A104" s="40" t="s">
        <v>1571</v>
      </c>
      <c r="B104" s="40" t="s">
        <v>1442</v>
      </c>
      <c r="C104" s="40" t="s">
        <v>80</v>
      </c>
      <c r="D104" s="40" t="s">
        <v>1744</v>
      </c>
    </row>
    <row r="105" spans="1:4" s="10" customFormat="1">
      <c r="A105" s="40" t="s">
        <v>2392</v>
      </c>
      <c r="B105" s="40" t="s">
        <v>1531</v>
      </c>
      <c r="C105" s="40" t="s">
        <v>561</v>
      </c>
      <c r="D105" s="40" t="s">
        <v>1744</v>
      </c>
    </row>
    <row r="106" spans="1:4" s="10" customFormat="1">
      <c r="A106" s="40" t="s">
        <v>1898</v>
      </c>
      <c r="B106" s="40" t="s">
        <v>746</v>
      </c>
      <c r="C106" s="40" t="s">
        <v>1440</v>
      </c>
      <c r="D106" s="40" t="s">
        <v>1742</v>
      </c>
    </row>
    <row r="107" spans="1:4" s="10" customFormat="1">
      <c r="A107" s="40" t="s">
        <v>1941</v>
      </c>
      <c r="B107" s="40" t="s">
        <v>1435</v>
      </c>
      <c r="C107" s="40" t="s">
        <v>1436</v>
      </c>
      <c r="D107" s="40" t="s">
        <v>1899</v>
      </c>
    </row>
    <row r="108" spans="1:4" s="10" customFormat="1">
      <c r="A108" s="40" t="s">
        <v>93</v>
      </c>
      <c r="B108" s="40" t="s">
        <v>1167</v>
      </c>
      <c r="C108" s="40" t="s">
        <v>1441</v>
      </c>
      <c r="D108" s="40" t="s">
        <v>1899</v>
      </c>
    </row>
    <row r="109" spans="1:4" s="10" customFormat="1">
      <c r="A109" s="40" t="s">
        <v>261</v>
      </c>
      <c r="B109" s="40" t="s">
        <v>262</v>
      </c>
      <c r="C109" s="40" t="s">
        <v>74</v>
      </c>
      <c r="D109" s="40" t="s">
        <v>1902</v>
      </c>
    </row>
    <row r="110" spans="1:4" s="10" customFormat="1">
      <c r="A110" s="40" t="s">
        <v>761</v>
      </c>
      <c r="B110" s="40" t="s">
        <v>1442</v>
      </c>
      <c r="C110" s="40" t="s">
        <v>760</v>
      </c>
      <c r="D110" s="40" t="s">
        <v>1902</v>
      </c>
    </row>
    <row r="111" spans="1:4" s="10" customFormat="1">
      <c r="A111" s="40" t="s">
        <v>126</v>
      </c>
      <c r="B111" s="40" t="s">
        <v>1455</v>
      </c>
      <c r="C111" s="40" t="s">
        <v>561</v>
      </c>
      <c r="D111" s="40" t="s">
        <v>1902</v>
      </c>
    </row>
    <row r="112" spans="1:4" s="10" customFormat="1">
      <c r="A112" s="40" t="s">
        <v>198</v>
      </c>
      <c r="B112" s="40" t="s">
        <v>39</v>
      </c>
      <c r="C112" s="40" t="s">
        <v>196</v>
      </c>
      <c r="D112" s="40" t="s">
        <v>1901</v>
      </c>
    </row>
    <row r="113" spans="1:4" s="10" customFormat="1">
      <c r="A113" s="40" t="s">
        <v>121</v>
      </c>
      <c r="B113" s="40" t="s">
        <v>537</v>
      </c>
      <c r="C113" s="40" t="s">
        <v>1874</v>
      </c>
      <c r="D113" s="40" t="s">
        <v>1895</v>
      </c>
    </row>
    <row r="114" spans="1:4" s="10" customFormat="1">
      <c r="A114" s="40" t="s">
        <v>267</v>
      </c>
      <c r="B114" s="40" t="s">
        <v>137</v>
      </c>
      <c r="C114" s="40" t="s">
        <v>1874</v>
      </c>
      <c r="D114" s="40" t="s">
        <v>1970</v>
      </c>
    </row>
    <row r="115" spans="1:4" s="10" customFormat="1">
      <c r="A115" s="40" t="s">
        <v>649</v>
      </c>
      <c r="B115" s="40" t="s">
        <v>1438</v>
      </c>
      <c r="C115" s="40" t="s">
        <v>1439</v>
      </c>
      <c r="D115" s="40" t="s">
        <v>1960</v>
      </c>
    </row>
    <row r="116" spans="1:4" s="10" customFormat="1">
      <c r="A116" s="40" t="s">
        <v>1381</v>
      </c>
      <c r="B116" s="40" t="s">
        <v>1379</v>
      </c>
      <c r="C116" s="40" t="s">
        <v>1378</v>
      </c>
      <c r="D116" s="40" t="s">
        <v>2324</v>
      </c>
    </row>
    <row r="117" spans="1:4" s="10" customFormat="1"/>
    <row r="118" spans="1:4" s="10" customFormat="1"/>
    <row r="119" spans="1:4" s="10" customFormat="1"/>
    <row r="120" spans="1:4" s="10" customFormat="1"/>
    <row r="121" spans="1:4" s="10" customFormat="1"/>
    <row r="122" spans="1:4" s="10" customFormat="1"/>
    <row r="123" spans="1:4" s="10" customFormat="1"/>
    <row r="124" spans="1:4" s="10" customFormat="1"/>
    <row r="125" spans="1:4" s="10" customFormat="1"/>
    <row r="126" spans="1:4" s="10" customFormat="1"/>
    <row r="127" spans="1:4" s="10" customFormat="1"/>
    <row r="128" spans="1:4" s="10" customFormat="1"/>
    <row r="129" spans="1:11" s="10" customFormat="1"/>
    <row r="130" spans="1:11" s="10" customFormat="1"/>
    <row r="131" spans="1:11" s="10" customFormat="1"/>
    <row r="132" spans="1:11" s="10" customFormat="1"/>
    <row r="133" spans="1:11" s="10" customFormat="1"/>
    <row r="134" spans="1:11" s="10" customFormat="1"/>
    <row r="135" spans="1:11" s="10" customFormat="1"/>
    <row r="136" spans="1:11" s="10" customFormat="1"/>
    <row r="137" spans="1:11" s="10" customFormat="1"/>
    <row r="138" spans="1:11" s="10" customFormat="1"/>
    <row r="139" spans="1:11" s="10" customFormat="1"/>
    <row r="140" spans="1:11" s="10" customFormat="1"/>
    <row r="141" spans="1:11" s="10" customFormat="1"/>
    <row r="142" spans="1:11" s="10" customFormat="1"/>
    <row r="143" spans="1:11" s="19" customFormat="1">
      <c r="A143" s="10"/>
      <c r="B143" s="10"/>
      <c r="C143" s="10"/>
      <c r="D143" s="10"/>
      <c r="E143" s="10"/>
      <c r="F143" s="10"/>
      <c r="G143" s="10"/>
      <c r="H143" s="10"/>
      <c r="I143" s="20"/>
      <c r="J143" s="20"/>
      <c r="K143" s="20"/>
    </row>
    <row r="144" spans="1:11" s="19" customFormat="1">
      <c r="A144" s="10"/>
      <c r="B144" s="10"/>
      <c r="C144" s="10"/>
      <c r="D144" s="10"/>
      <c r="E144" s="10"/>
      <c r="F144" s="10"/>
      <c r="G144" s="10"/>
      <c r="H144" s="10"/>
    </row>
    <row r="145" spans="1:8" s="10" customFormat="1"/>
    <row r="146" spans="1:8" s="19" customFormat="1">
      <c r="A146" s="10"/>
      <c r="B146" s="10"/>
      <c r="C146" s="10"/>
      <c r="D146" s="10"/>
      <c r="E146" s="10"/>
      <c r="F146" s="10"/>
      <c r="G146" s="10"/>
      <c r="H146" s="10"/>
    </row>
    <row r="147" spans="1:8" s="19" customFormat="1">
      <c r="A147" s="10"/>
      <c r="B147" s="10"/>
    </row>
    <row r="148" spans="1:8" s="19" customFormat="1">
      <c r="A148" s="10"/>
      <c r="B148" s="10"/>
    </row>
    <row r="149" spans="1:8" s="19" customFormat="1">
      <c r="A149" s="10"/>
      <c r="B149" s="10"/>
      <c r="C149" s="10"/>
      <c r="D149" s="10"/>
      <c r="E149" s="10"/>
    </row>
    <row r="150" spans="1:8" s="19" customFormat="1"/>
  </sheetData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27"/>
  <sheetViews>
    <sheetView workbookViewId="0">
      <pane ySplit="1" topLeftCell="A2" activePane="bottomLeft" state="frozen"/>
      <selection pane="bottomLeft" activeCell="G3" sqref="G3:H5"/>
    </sheetView>
  </sheetViews>
  <sheetFormatPr defaultRowHeight="15"/>
  <cols>
    <col min="1" max="1" width="25" customWidth="1"/>
    <col min="2" max="2" width="9.28515625" style="3" customWidth="1"/>
    <col min="3" max="3" width="12.85546875" style="3" customWidth="1"/>
    <col min="4" max="4" width="15" style="1" customWidth="1"/>
    <col min="5" max="5" width="112.85546875" customWidth="1"/>
    <col min="6" max="6" width="9.140625" customWidth="1"/>
    <col min="8" max="8" width="15.7109375" customWidth="1"/>
    <col min="9" max="9" width="9.140625" customWidth="1"/>
  </cols>
  <sheetData>
    <row r="1" spans="1:8" s="18" customFormat="1" ht="15.75" thickBot="1">
      <c r="A1" s="7" t="s">
        <v>34</v>
      </c>
      <c r="B1" s="14" t="s">
        <v>1030</v>
      </c>
      <c r="C1" s="14" t="s">
        <v>1415</v>
      </c>
      <c r="D1" s="14" t="s">
        <v>1416</v>
      </c>
      <c r="E1" s="9" t="s">
        <v>118</v>
      </c>
    </row>
    <row r="2" spans="1:8" s="1" customFormat="1" ht="15.75" thickBot="1">
      <c r="A2" s="1" t="s">
        <v>1079</v>
      </c>
      <c r="B2" s="3">
        <v>3</v>
      </c>
      <c r="C2" s="3">
        <v>15</v>
      </c>
      <c r="D2" s="1" t="s">
        <v>199</v>
      </c>
      <c r="E2" s="1" t="s">
        <v>1735</v>
      </c>
    </row>
    <row r="3" spans="1:8" s="1" customFormat="1">
      <c r="A3" s="26" t="s">
        <v>1079</v>
      </c>
      <c r="B3" s="27">
        <v>3</v>
      </c>
      <c r="C3" s="27">
        <v>15</v>
      </c>
      <c r="D3" s="26" t="s">
        <v>199</v>
      </c>
      <c r="E3" s="26" t="s">
        <v>1734</v>
      </c>
      <c r="G3" s="35"/>
      <c r="H3" s="22" t="s">
        <v>72</v>
      </c>
    </row>
    <row r="4" spans="1:8" s="1" customFormat="1">
      <c r="A4" s="1" t="s">
        <v>1033</v>
      </c>
      <c r="B4" s="3">
        <v>4</v>
      </c>
      <c r="C4" s="3">
        <v>25</v>
      </c>
      <c r="D4" s="1" t="s">
        <v>199</v>
      </c>
      <c r="E4" s="1" t="s">
        <v>2196</v>
      </c>
      <c r="G4" s="43"/>
      <c r="H4" s="44" t="s">
        <v>73</v>
      </c>
    </row>
    <row r="5" spans="1:8" s="1" customFormat="1" ht="15.75" thickBot="1">
      <c r="A5" s="26" t="s">
        <v>1033</v>
      </c>
      <c r="B5" s="27">
        <v>4</v>
      </c>
      <c r="C5" s="27">
        <v>20</v>
      </c>
      <c r="D5" s="26" t="s">
        <v>199</v>
      </c>
      <c r="E5" s="26" t="s">
        <v>2523</v>
      </c>
      <c r="G5" s="51"/>
      <c r="H5" s="45" t="s">
        <v>929</v>
      </c>
    </row>
    <row r="6" spans="1:8">
      <c r="A6" s="1" t="s">
        <v>1037</v>
      </c>
      <c r="B6" s="3">
        <v>1</v>
      </c>
      <c r="C6" s="3">
        <v>5</v>
      </c>
      <c r="D6" s="1" t="s">
        <v>1038</v>
      </c>
      <c r="E6" t="s">
        <v>1733</v>
      </c>
    </row>
    <row r="7" spans="1:8">
      <c r="A7" s="26" t="s">
        <v>1037</v>
      </c>
      <c r="B7" s="27">
        <v>1</v>
      </c>
      <c r="C7" s="27">
        <v>1</v>
      </c>
      <c r="D7" s="26" t="s">
        <v>1038</v>
      </c>
      <c r="E7" s="30" t="s">
        <v>1733</v>
      </c>
    </row>
    <row r="8" spans="1:8">
      <c r="A8" s="1" t="s">
        <v>1039</v>
      </c>
      <c r="B8" s="3">
        <v>4</v>
      </c>
      <c r="C8" s="3">
        <v>25</v>
      </c>
      <c r="D8" s="1" t="s">
        <v>1040</v>
      </c>
      <c r="E8" t="s">
        <v>1534</v>
      </c>
    </row>
    <row r="9" spans="1:8">
      <c r="A9" s="26" t="s">
        <v>1039</v>
      </c>
      <c r="B9" s="27">
        <v>4</v>
      </c>
      <c r="C9" s="27">
        <v>4</v>
      </c>
      <c r="D9" s="26" t="s">
        <v>1047</v>
      </c>
      <c r="E9" s="30" t="s">
        <v>1535</v>
      </c>
    </row>
    <row r="10" spans="1:8" s="1" customFormat="1">
      <c r="A10" s="1" t="s">
        <v>2360</v>
      </c>
      <c r="B10" s="3">
        <v>1</v>
      </c>
      <c r="C10" s="3">
        <v>5</v>
      </c>
      <c r="D10" s="1" t="s">
        <v>1038</v>
      </c>
      <c r="E10" s="1" t="s">
        <v>2361</v>
      </c>
    </row>
    <row r="11" spans="1:8" s="1" customFormat="1">
      <c r="A11" s="26" t="s">
        <v>2360</v>
      </c>
      <c r="B11" s="27">
        <v>1</v>
      </c>
      <c r="C11" s="27">
        <v>5</v>
      </c>
      <c r="D11" s="26" t="s">
        <v>1038</v>
      </c>
      <c r="E11" s="26" t="s">
        <v>2362</v>
      </c>
    </row>
    <row r="12" spans="1:8" s="1" customFormat="1">
      <c r="A12" s="1" t="s">
        <v>1064</v>
      </c>
      <c r="B12" s="3">
        <v>2</v>
      </c>
      <c r="C12" s="3">
        <v>10</v>
      </c>
      <c r="D12" s="1" t="s">
        <v>1038</v>
      </c>
      <c r="E12" s="1" t="s">
        <v>1732</v>
      </c>
    </row>
    <row r="13" spans="1:8" s="1" customFormat="1">
      <c r="A13" s="26" t="s">
        <v>1064</v>
      </c>
      <c r="B13" s="27">
        <v>2</v>
      </c>
      <c r="C13" s="27">
        <v>1</v>
      </c>
      <c r="D13" s="26" t="s">
        <v>1072</v>
      </c>
      <c r="E13" s="26" t="s">
        <v>1731</v>
      </c>
    </row>
    <row r="14" spans="1:8" s="1" customFormat="1">
      <c r="A14" s="1" t="s">
        <v>1074</v>
      </c>
      <c r="B14" s="3">
        <v>3</v>
      </c>
      <c r="C14" s="3">
        <v>15</v>
      </c>
      <c r="D14" s="1" t="s">
        <v>199</v>
      </c>
      <c r="E14" s="1" t="s">
        <v>1947</v>
      </c>
    </row>
    <row r="15" spans="1:8" s="1" customFormat="1">
      <c r="A15" s="26" t="s">
        <v>1073</v>
      </c>
      <c r="B15" s="27">
        <v>3</v>
      </c>
      <c r="C15" s="27">
        <v>15</v>
      </c>
      <c r="D15" s="26" t="s">
        <v>199</v>
      </c>
      <c r="E15" s="26" t="s">
        <v>1948</v>
      </c>
    </row>
    <row r="16" spans="1:8" s="1" customFormat="1">
      <c r="A16" s="1" t="s">
        <v>1075</v>
      </c>
      <c r="B16" s="3">
        <v>4</v>
      </c>
      <c r="C16" s="3">
        <v>25</v>
      </c>
      <c r="D16" s="1" t="s">
        <v>1035</v>
      </c>
      <c r="E16" s="1" t="s">
        <v>1138</v>
      </c>
    </row>
    <row r="17" spans="1:5" s="1" customFormat="1">
      <c r="A17" s="26" t="s">
        <v>1075</v>
      </c>
      <c r="B17" s="27">
        <v>4</v>
      </c>
      <c r="C17" s="27">
        <v>20</v>
      </c>
      <c r="D17" s="26" t="s">
        <v>1047</v>
      </c>
      <c r="E17" s="26" t="s">
        <v>1641</v>
      </c>
    </row>
    <row r="18" spans="1:5" s="1" customFormat="1">
      <c r="A18" s="1" t="s">
        <v>1147</v>
      </c>
      <c r="B18" s="3">
        <v>5</v>
      </c>
      <c r="C18" s="3">
        <v>50</v>
      </c>
      <c r="D18" s="1" t="s">
        <v>1040</v>
      </c>
      <c r="E18" s="1" t="s">
        <v>1146</v>
      </c>
    </row>
    <row r="19" spans="1:5" s="1" customFormat="1">
      <c r="A19" s="26" t="s">
        <v>1145</v>
      </c>
      <c r="B19" s="27">
        <v>5</v>
      </c>
      <c r="C19" s="27">
        <v>40</v>
      </c>
      <c r="D19" s="26" t="s">
        <v>1040</v>
      </c>
      <c r="E19" s="26" t="s">
        <v>1148</v>
      </c>
    </row>
    <row r="20" spans="1:5" s="1" customFormat="1">
      <c r="A20" s="1" t="s">
        <v>2363</v>
      </c>
      <c r="B20" s="3">
        <v>1</v>
      </c>
      <c r="C20" s="3">
        <v>5</v>
      </c>
      <c r="D20" s="1" t="s">
        <v>1038</v>
      </c>
      <c r="E20" s="1" t="s">
        <v>2364</v>
      </c>
    </row>
    <row r="21" spans="1:5" s="1" customFormat="1">
      <c r="A21" s="26" t="s">
        <v>2363</v>
      </c>
      <c r="B21" s="27">
        <v>1</v>
      </c>
      <c r="C21" s="27">
        <v>5</v>
      </c>
      <c r="D21" s="26" t="s">
        <v>1038</v>
      </c>
      <c r="E21" s="26" t="s">
        <v>2365</v>
      </c>
    </row>
    <row r="22" spans="1:5" s="1" customFormat="1">
      <c r="A22" s="1" t="s">
        <v>1055</v>
      </c>
      <c r="B22" s="3">
        <v>2</v>
      </c>
      <c r="C22" s="3">
        <v>10</v>
      </c>
      <c r="D22" s="1" t="s">
        <v>199</v>
      </c>
      <c r="E22" s="1" t="s">
        <v>1082</v>
      </c>
    </row>
    <row r="23" spans="1:5" s="1" customFormat="1">
      <c r="A23" s="26" t="s">
        <v>1055</v>
      </c>
      <c r="B23" s="27">
        <v>2</v>
      </c>
      <c r="C23" s="27">
        <v>10</v>
      </c>
      <c r="D23" s="26" t="s">
        <v>199</v>
      </c>
      <c r="E23" s="26" t="s">
        <v>2426</v>
      </c>
    </row>
    <row r="24" spans="1:5" s="1" customFormat="1">
      <c r="A24" s="1" t="s">
        <v>1729</v>
      </c>
      <c r="B24" s="3">
        <v>3</v>
      </c>
      <c r="C24" s="3">
        <v>15</v>
      </c>
      <c r="D24" s="1" t="s">
        <v>1038</v>
      </c>
      <c r="E24" s="1" t="s">
        <v>1730</v>
      </c>
    </row>
    <row r="25" spans="1:5" s="1" customFormat="1">
      <c r="A25" s="26" t="s">
        <v>1736</v>
      </c>
      <c r="B25" s="27">
        <v>3</v>
      </c>
      <c r="C25" s="27">
        <v>15</v>
      </c>
      <c r="D25" s="26" t="s">
        <v>1051</v>
      </c>
      <c r="E25" s="26" t="s">
        <v>1753</v>
      </c>
    </row>
    <row r="26" spans="1:5" s="1" customFormat="1">
      <c r="A26" s="1" t="s">
        <v>1076</v>
      </c>
      <c r="B26" s="3">
        <v>4</v>
      </c>
      <c r="C26" s="3">
        <v>25</v>
      </c>
      <c r="D26" s="1" t="s">
        <v>1035</v>
      </c>
      <c r="E26" s="1" t="s">
        <v>1637</v>
      </c>
    </row>
    <row r="27" spans="1:5" s="1" customFormat="1">
      <c r="A27" s="26" t="s">
        <v>1076</v>
      </c>
      <c r="B27" s="27">
        <v>4</v>
      </c>
      <c r="C27" s="27">
        <v>20</v>
      </c>
      <c r="D27" s="26" t="s">
        <v>1047</v>
      </c>
      <c r="E27" s="26" t="s">
        <v>1640</v>
      </c>
    </row>
    <row r="28" spans="1:5" s="1" customFormat="1">
      <c r="A28" s="1" t="s">
        <v>1149</v>
      </c>
      <c r="B28" s="3">
        <v>5</v>
      </c>
      <c r="C28" s="3">
        <v>50</v>
      </c>
      <c r="D28" s="1" t="s">
        <v>1040</v>
      </c>
      <c r="E28" s="1" t="s">
        <v>1151</v>
      </c>
    </row>
    <row r="29" spans="1:5" s="1" customFormat="1">
      <c r="A29" s="26" t="s">
        <v>1150</v>
      </c>
      <c r="B29" s="27">
        <v>5</v>
      </c>
      <c r="C29" s="27">
        <v>40</v>
      </c>
      <c r="D29" s="26" t="s">
        <v>1040</v>
      </c>
      <c r="E29" s="26" t="s">
        <v>1152</v>
      </c>
    </row>
    <row r="30" spans="1:5" s="1" customFormat="1">
      <c r="A30" s="1" t="s">
        <v>2366</v>
      </c>
      <c r="B30" s="3">
        <v>1</v>
      </c>
      <c r="C30" s="3">
        <v>5</v>
      </c>
      <c r="D30" s="1" t="s">
        <v>1038</v>
      </c>
      <c r="E30" s="1" t="s">
        <v>2367</v>
      </c>
    </row>
    <row r="31" spans="1:5" s="1" customFormat="1">
      <c r="A31" s="26" t="s">
        <v>2366</v>
      </c>
      <c r="B31" s="27">
        <v>1</v>
      </c>
      <c r="C31" s="27">
        <v>5</v>
      </c>
      <c r="D31" s="26" t="s">
        <v>1038</v>
      </c>
      <c r="E31" s="26" t="s">
        <v>2368</v>
      </c>
    </row>
    <row r="32" spans="1:5" s="1" customFormat="1">
      <c r="A32" s="1" t="s">
        <v>1122</v>
      </c>
      <c r="B32" s="3">
        <v>2</v>
      </c>
      <c r="C32" s="3">
        <v>10</v>
      </c>
      <c r="D32" s="1" t="s">
        <v>1038</v>
      </c>
      <c r="E32" s="1" t="s">
        <v>2160</v>
      </c>
    </row>
    <row r="33" spans="1:5" s="1" customFormat="1">
      <c r="A33" s="26" t="s">
        <v>1122</v>
      </c>
      <c r="B33" s="27">
        <v>2</v>
      </c>
      <c r="C33" s="27">
        <v>1</v>
      </c>
      <c r="D33" s="26" t="s">
        <v>1072</v>
      </c>
      <c r="E33" s="48" t="s">
        <v>2161</v>
      </c>
    </row>
    <row r="34" spans="1:5" s="1" customFormat="1">
      <c r="A34" s="1" t="s">
        <v>1077</v>
      </c>
      <c r="B34" s="3">
        <v>4</v>
      </c>
      <c r="C34" s="3">
        <v>25</v>
      </c>
      <c r="D34" s="1" t="s">
        <v>1035</v>
      </c>
      <c r="E34" s="1" t="s">
        <v>2159</v>
      </c>
    </row>
    <row r="35" spans="1:5" s="1" customFormat="1">
      <c r="A35" s="26" t="s">
        <v>1077</v>
      </c>
      <c r="B35" s="27">
        <v>4</v>
      </c>
      <c r="C35" s="27">
        <v>20</v>
      </c>
      <c r="D35" s="26" t="s">
        <v>1047</v>
      </c>
      <c r="E35" s="48" t="s">
        <v>2165</v>
      </c>
    </row>
    <row r="36" spans="1:5" s="1" customFormat="1">
      <c r="A36" s="1" t="s">
        <v>1153</v>
      </c>
      <c r="B36" s="3">
        <v>5</v>
      </c>
      <c r="C36" s="3">
        <v>50</v>
      </c>
      <c r="D36" s="1" t="s">
        <v>1040</v>
      </c>
      <c r="E36" s="1" t="s">
        <v>1155</v>
      </c>
    </row>
    <row r="37" spans="1:5" s="1" customFormat="1">
      <c r="A37" s="26" t="s">
        <v>1154</v>
      </c>
      <c r="B37" s="27">
        <v>5</v>
      </c>
      <c r="C37" s="27">
        <v>40</v>
      </c>
      <c r="D37" s="26" t="s">
        <v>1040</v>
      </c>
      <c r="E37" s="48" t="s">
        <v>2166</v>
      </c>
    </row>
    <row r="38" spans="1:5" s="1" customFormat="1">
      <c r="A38" s="1" t="s">
        <v>2369</v>
      </c>
      <c r="B38" s="3">
        <v>1</v>
      </c>
      <c r="C38" s="3">
        <v>5</v>
      </c>
      <c r="D38" s="1" t="s">
        <v>1038</v>
      </c>
      <c r="E38" s="1" t="s">
        <v>2370</v>
      </c>
    </row>
    <row r="39" spans="1:5" s="1" customFormat="1">
      <c r="A39" s="26" t="s">
        <v>2369</v>
      </c>
      <c r="B39" s="27">
        <v>1</v>
      </c>
      <c r="C39" s="27">
        <v>5</v>
      </c>
      <c r="D39" s="26" t="s">
        <v>1038</v>
      </c>
      <c r="E39" s="26" t="s">
        <v>2371</v>
      </c>
    </row>
    <row r="40" spans="1:5" s="1" customFormat="1">
      <c r="A40" s="1" t="s">
        <v>1080</v>
      </c>
      <c r="B40" s="3">
        <v>3</v>
      </c>
      <c r="C40" s="3">
        <v>15</v>
      </c>
      <c r="D40" s="1" t="s">
        <v>1040</v>
      </c>
      <c r="E40" s="1" t="s">
        <v>1139</v>
      </c>
    </row>
    <row r="41" spans="1:5" s="1" customFormat="1">
      <c r="A41" s="26" t="s">
        <v>1080</v>
      </c>
      <c r="B41" s="27">
        <v>3</v>
      </c>
      <c r="C41" s="27">
        <v>1</v>
      </c>
      <c r="D41" s="26" t="s">
        <v>1072</v>
      </c>
      <c r="E41" s="26" t="s">
        <v>1081</v>
      </c>
    </row>
    <row r="42" spans="1:5" s="1" customFormat="1">
      <c r="A42" s="1" t="s">
        <v>1078</v>
      </c>
      <c r="B42" s="3">
        <v>4</v>
      </c>
      <c r="C42" s="3">
        <v>25</v>
      </c>
      <c r="D42" s="1" t="s">
        <v>1035</v>
      </c>
      <c r="E42" s="1" t="s">
        <v>1638</v>
      </c>
    </row>
    <row r="43" spans="1:5" s="1" customFormat="1">
      <c r="A43" s="26" t="s">
        <v>1078</v>
      </c>
      <c r="B43" s="27">
        <v>4</v>
      </c>
      <c r="C43" s="27">
        <v>20</v>
      </c>
      <c r="D43" s="26" t="s">
        <v>1047</v>
      </c>
      <c r="E43" s="26" t="s">
        <v>1639</v>
      </c>
    </row>
    <row r="44" spans="1:5" s="1" customFormat="1">
      <c r="A44" s="1" t="s">
        <v>1156</v>
      </c>
      <c r="B44" s="3">
        <v>5</v>
      </c>
      <c r="C44" s="3">
        <v>50</v>
      </c>
      <c r="D44" s="1" t="s">
        <v>1040</v>
      </c>
      <c r="E44" s="1" t="s">
        <v>1158</v>
      </c>
    </row>
    <row r="45" spans="1:5" s="1" customFormat="1">
      <c r="A45" s="26" t="s">
        <v>1157</v>
      </c>
      <c r="B45" s="27">
        <v>5</v>
      </c>
      <c r="C45" s="27">
        <v>40</v>
      </c>
      <c r="D45" s="26" t="s">
        <v>1040</v>
      </c>
      <c r="E45" s="26" t="s">
        <v>1159</v>
      </c>
    </row>
    <row r="46" spans="1:5" s="1" customFormat="1">
      <c r="A46" s="1" t="s">
        <v>1059</v>
      </c>
      <c r="B46" s="3">
        <v>1</v>
      </c>
      <c r="C46" s="3">
        <v>5</v>
      </c>
      <c r="D46" s="1" t="s">
        <v>1038</v>
      </c>
      <c r="E46" s="1" t="s">
        <v>1062</v>
      </c>
    </row>
    <row r="47" spans="1:5" s="1" customFormat="1">
      <c r="A47" s="26" t="s">
        <v>1060</v>
      </c>
      <c r="B47" s="27">
        <v>1</v>
      </c>
      <c r="C47" s="27">
        <v>6</v>
      </c>
      <c r="D47" s="26" t="s">
        <v>1061</v>
      </c>
      <c r="E47" s="26" t="s">
        <v>1063</v>
      </c>
    </row>
    <row r="48" spans="1:5" s="1" customFormat="1">
      <c r="A48" s="1" t="s">
        <v>1058</v>
      </c>
      <c r="B48" s="3">
        <v>2</v>
      </c>
      <c r="C48" s="3">
        <v>10</v>
      </c>
      <c r="D48" s="1" t="s">
        <v>199</v>
      </c>
      <c r="E48" s="1" t="s">
        <v>1066</v>
      </c>
    </row>
    <row r="49" spans="1:5" s="1" customFormat="1">
      <c r="A49" s="26" t="s">
        <v>1056</v>
      </c>
      <c r="B49" s="27">
        <v>2</v>
      </c>
      <c r="C49" s="27">
        <v>10</v>
      </c>
      <c r="D49" s="26" t="s">
        <v>199</v>
      </c>
      <c r="E49" s="26" t="s">
        <v>1065</v>
      </c>
    </row>
    <row r="50" spans="1:5" s="1" customFormat="1">
      <c r="A50" s="1" t="s">
        <v>1034</v>
      </c>
      <c r="B50" s="3">
        <v>3</v>
      </c>
      <c r="C50" s="3">
        <v>15</v>
      </c>
      <c r="D50" s="1" t="s">
        <v>1035</v>
      </c>
      <c r="E50" s="1" t="s">
        <v>1123</v>
      </c>
    </row>
    <row r="51" spans="1:5" s="1" customFormat="1">
      <c r="A51" s="26" t="s">
        <v>1034</v>
      </c>
      <c r="B51" s="27">
        <v>3</v>
      </c>
      <c r="C51" s="27">
        <v>10</v>
      </c>
      <c r="D51" s="26" t="s">
        <v>1036</v>
      </c>
      <c r="E51" s="26" t="s">
        <v>1123</v>
      </c>
    </row>
    <row r="52" spans="1:5" s="1" customFormat="1">
      <c r="A52" s="1" t="s">
        <v>1057</v>
      </c>
      <c r="B52" s="3">
        <v>4</v>
      </c>
      <c r="C52" s="3">
        <v>25</v>
      </c>
      <c r="D52" s="1" t="s">
        <v>199</v>
      </c>
      <c r="E52" s="1" t="s">
        <v>1067</v>
      </c>
    </row>
    <row r="53" spans="1:5" s="1" customFormat="1">
      <c r="A53" s="26" t="s">
        <v>1057</v>
      </c>
      <c r="B53" s="27">
        <v>4</v>
      </c>
      <c r="C53" s="27">
        <v>25</v>
      </c>
      <c r="D53" s="26" t="s">
        <v>199</v>
      </c>
      <c r="E53" s="26" t="s">
        <v>1068</v>
      </c>
    </row>
    <row r="54" spans="1:5">
      <c r="A54" s="1" t="s">
        <v>1084</v>
      </c>
      <c r="B54" s="3">
        <v>3</v>
      </c>
      <c r="C54" s="3">
        <v>15</v>
      </c>
      <c r="D54" s="1" t="s">
        <v>1038</v>
      </c>
      <c r="E54" s="1" t="s">
        <v>1124</v>
      </c>
    </row>
    <row r="55" spans="1:5">
      <c r="A55" s="26" t="s">
        <v>1083</v>
      </c>
      <c r="B55" s="27">
        <v>3</v>
      </c>
      <c r="C55" s="27">
        <v>15</v>
      </c>
      <c r="D55" s="26" t="s">
        <v>1051</v>
      </c>
      <c r="E55" s="30" t="s">
        <v>1124</v>
      </c>
    </row>
    <row r="56" spans="1:5">
      <c r="A56" s="1" t="s">
        <v>1094</v>
      </c>
      <c r="B56" s="3">
        <v>1</v>
      </c>
      <c r="C56" s="3">
        <v>5</v>
      </c>
      <c r="D56" s="1" t="s">
        <v>1038</v>
      </c>
      <c r="E56" t="s">
        <v>1095</v>
      </c>
    </row>
    <row r="57" spans="1:5">
      <c r="A57" s="26" t="s">
        <v>1094</v>
      </c>
      <c r="B57" s="27">
        <v>1</v>
      </c>
      <c r="C57" s="27">
        <v>5</v>
      </c>
      <c r="D57" s="26" t="s">
        <v>1061</v>
      </c>
      <c r="E57" s="30" t="s">
        <v>1678</v>
      </c>
    </row>
    <row r="58" spans="1:5">
      <c r="A58" s="1" t="s">
        <v>1096</v>
      </c>
      <c r="B58" s="3">
        <v>3</v>
      </c>
      <c r="C58" s="3">
        <v>15</v>
      </c>
      <c r="D58" s="1" t="s">
        <v>1040</v>
      </c>
      <c r="E58" t="s">
        <v>1126</v>
      </c>
    </row>
    <row r="59" spans="1:5">
      <c r="A59" s="26" t="s">
        <v>1096</v>
      </c>
      <c r="B59" s="27">
        <v>3</v>
      </c>
      <c r="C59" s="27">
        <v>15</v>
      </c>
      <c r="D59" s="26" t="s">
        <v>1047</v>
      </c>
      <c r="E59" s="30" t="s">
        <v>1125</v>
      </c>
    </row>
    <row r="60" spans="1:5">
      <c r="A60" s="1" t="s">
        <v>1042</v>
      </c>
      <c r="B60" s="3">
        <v>4</v>
      </c>
      <c r="C60" s="3">
        <v>35</v>
      </c>
      <c r="D60" s="1" t="s">
        <v>1040</v>
      </c>
      <c r="E60" t="s">
        <v>1127</v>
      </c>
    </row>
    <row r="61" spans="1:5">
      <c r="A61" s="26" t="s">
        <v>1042</v>
      </c>
      <c r="B61" s="27">
        <v>4</v>
      </c>
      <c r="C61" s="27">
        <v>20</v>
      </c>
      <c r="D61" s="26" t="s">
        <v>1047</v>
      </c>
      <c r="E61" s="30" t="s">
        <v>1127</v>
      </c>
    </row>
    <row r="62" spans="1:5" s="1" customFormat="1">
      <c r="A62" s="1" t="s">
        <v>1098</v>
      </c>
      <c r="B62" s="3">
        <v>2</v>
      </c>
      <c r="C62" s="3">
        <v>15</v>
      </c>
      <c r="D62" s="1" t="s">
        <v>1035</v>
      </c>
      <c r="E62" s="1" t="s">
        <v>1099</v>
      </c>
    </row>
    <row r="63" spans="1:5" s="1" customFormat="1">
      <c r="A63" s="26" t="s">
        <v>1098</v>
      </c>
      <c r="B63" s="27">
        <v>2</v>
      </c>
      <c r="C63" s="27">
        <v>10</v>
      </c>
      <c r="D63" s="26" t="s">
        <v>1051</v>
      </c>
      <c r="E63" s="26" t="s">
        <v>1100</v>
      </c>
    </row>
    <row r="64" spans="1:5" s="1" customFormat="1">
      <c r="A64" s="1" t="s">
        <v>1101</v>
      </c>
      <c r="B64" s="3">
        <v>4</v>
      </c>
      <c r="C64" s="3">
        <v>20</v>
      </c>
      <c r="D64" s="1" t="s">
        <v>199</v>
      </c>
      <c r="E64" s="1" t="s">
        <v>1417</v>
      </c>
    </row>
    <row r="65" spans="1:5" s="1" customFormat="1">
      <c r="A65" s="26" t="s">
        <v>1101</v>
      </c>
      <c r="B65" s="27">
        <v>3</v>
      </c>
      <c r="C65" s="27">
        <v>15</v>
      </c>
      <c r="D65" s="26" t="s">
        <v>199</v>
      </c>
      <c r="E65" s="26" t="s">
        <v>1417</v>
      </c>
    </row>
    <row r="66" spans="1:5" s="1" customFormat="1">
      <c r="A66" s="1" t="s">
        <v>1102</v>
      </c>
      <c r="B66" s="3">
        <v>3</v>
      </c>
      <c r="C66" s="3">
        <v>20</v>
      </c>
      <c r="D66" s="1" t="s">
        <v>1035</v>
      </c>
      <c r="E66" s="1" t="s">
        <v>1103</v>
      </c>
    </row>
    <row r="67" spans="1:5" s="1" customFormat="1">
      <c r="A67" s="26" t="s">
        <v>1102</v>
      </c>
      <c r="B67" s="27">
        <v>4</v>
      </c>
      <c r="C67" s="27">
        <v>20</v>
      </c>
      <c r="D67" s="26" t="s">
        <v>1047</v>
      </c>
      <c r="E67" s="26" t="s">
        <v>1104</v>
      </c>
    </row>
    <row r="68" spans="1:5" s="1" customFormat="1">
      <c r="A68" s="1" t="s">
        <v>1105</v>
      </c>
      <c r="B68" s="3">
        <v>5</v>
      </c>
      <c r="C68" s="3">
        <v>20</v>
      </c>
      <c r="D68" s="1" t="s">
        <v>1040</v>
      </c>
      <c r="E68" s="1" t="s">
        <v>2331</v>
      </c>
    </row>
    <row r="69" spans="1:5" s="1" customFormat="1">
      <c r="A69" s="26" t="s">
        <v>1105</v>
      </c>
      <c r="B69" s="27">
        <v>5</v>
      </c>
      <c r="C69" s="27">
        <v>30</v>
      </c>
      <c r="D69" s="26" t="s">
        <v>1092</v>
      </c>
      <c r="E69" s="26" t="s">
        <v>2332</v>
      </c>
    </row>
    <row r="70" spans="1:5" s="1" customFormat="1">
      <c r="A70" s="1" t="s">
        <v>1032</v>
      </c>
      <c r="B70" s="3">
        <v>1</v>
      </c>
      <c r="C70" s="3">
        <v>8</v>
      </c>
      <c r="D70" s="1" t="s">
        <v>199</v>
      </c>
      <c r="E70" s="1" t="s">
        <v>1128</v>
      </c>
    </row>
    <row r="71" spans="1:5" s="1" customFormat="1">
      <c r="A71" s="26" t="s">
        <v>1031</v>
      </c>
      <c r="B71" s="27">
        <v>1</v>
      </c>
      <c r="C71" s="27">
        <v>4</v>
      </c>
      <c r="D71" s="26" t="s">
        <v>199</v>
      </c>
      <c r="E71" s="26" t="s">
        <v>1128</v>
      </c>
    </row>
    <row r="72" spans="1:5">
      <c r="A72" s="1" t="s">
        <v>1044</v>
      </c>
      <c r="B72" s="3">
        <v>2</v>
      </c>
      <c r="C72" s="3">
        <v>5</v>
      </c>
      <c r="D72" s="1" t="s">
        <v>1035</v>
      </c>
      <c r="E72" s="1" t="s">
        <v>1129</v>
      </c>
    </row>
    <row r="73" spans="1:5">
      <c r="A73" s="26" t="s">
        <v>1043</v>
      </c>
      <c r="B73" s="27">
        <v>2</v>
      </c>
      <c r="C73" s="27">
        <v>5</v>
      </c>
      <c r="D73" s="26" t="s">
        <v>1036</v>
      </c>
      <c r="E73" s="30" t="s">
        <v>1129</v>
      </c>
    </row>
    <row r="74" spans="1:5">
      <c r="A74" s="1" t="s">
        <v>1045</v>
      </c>
      <c r="B74" s="3">
        <v>3</v>
      </c>
      <c r="C74" s="3">
        <v>15</v>
      </c>
      <c r="D74" s="1" t="s">
        <v>1035</v>
      </c>
      <c r="E74" t="s">
        <v>1130</v>
      </c>
    </row>
    <row r="75" spans="1:5">
      <c r="A75" s="26" t="s">
        <v>1636</v>
      </c>
      <c r="B75" s="27">
        <v>3</v>
      </c>
      <c r="C75" s="27">
        <v>15</v>
      </c>
      <c r="D75" s="26" t="s">
        <v>1036</v>
      </c>
      <c r="E75" s="30" t="s">
        <v>1130</v>
      </c>
    </row>
    <row r="76" spans="1:5">
      <c r="A76" s="1" t="s">
        <v>1046</v>
      </c>
      <c r="B76" s="3">
        <v>4</v>
      </c>
      <c r="C76" s="3">
        <v>20</v>
      </c>
      <c r="D76" s="1" t="s">
        <v>1047</v>
      </c>
      <c r="E76" t="s">
        <v>1131</v>
      </c>
    </row>
    <row r="77" spans="1:5">
      <c r="A77" s="26" t="s">
        <v>1046</v>
      </c>
      <c r="B77" s="27">
        <v>4</v>
      </c>
      <c r="C77" s="27">
        <v>20</v>
      </c>
      <c r="D77" s="26" t="s">
        <v>1041</v>
      </c>
      <c r="E77" s="30" t="s">
        <v>1131</v>
      </c>
    </row>
    <row r="78" spans="1:5">
      <c r="A78" s="1" t="s">
        <v>1048</v>
      </c>
      <c r="B78" s="3">
        <v>5</v>
      </c>
      <c r="C78" s="3">
        <v>25</v>
      </c>
      <c r="D78" s="1" t="s">
        <v>1040</v>
      </c>
      <c r="E78" t="s">
        <v>1419</v>
      </c>
    </row>
    <row r="79" spans="1:5">
      <c r="A79" s="26" t="s">
        <v>1048</v>
      </c>
      <c r="B79" s="27">
        <v>5</v>
      </c>
      <c r="C79" s="27">
        <v>3</v>
      </c>
      <c r="D79" s="26" t="s">
        <v>1414</v>
      </c>
      <c r="E79" s="30" t="s">
        <v>1418</v>
      </c>
    </row>
    <row r="80" spans="1:5">
      <c r="A80" s="1" t="s">
        <v>1049</v>
      </c>
      <c r="B80" s="3">
        <v>1</v>
      </c>
      <c r="C80" s="3">
        <v>5</v>
      </c>
      <c r="D80" s="1" t="s">
        <v>199</v>
      </c>
      <c r="E80" t="s">
        <v>1070</v>
      </c>
    </row>
    <row r="81" spans="1:5">
      <c r="A81" s="26" t="s">
        <v>1049</v>
      </c>
      <c r="B81" s="27">
        <v>1</v>
      </c>
      <c r="C81" s="27">
        <v>6</v>
      </c>
      <c r="D81" s="26" t="s">
        <v>199</v>
      </c>
      <c r="E81" s="30" t="s">
        <v>1069</v>
      </c>
    </row>
    <row r="82" spans="1:5">
      <c r="A82" s="1" t="s">
        <v>1050</v>
      </c>
      <c r="B82" s="3">
        <v>2</v>
      </c>
      <c r="C82" s="3">
        <v>10</v>
      </c>
      <c r="D82" s="1" t="s">
        <v>1051</v>
      </c>
      <c r="E82" t="s">
        <v>1132</v>
      </c>
    </row>
    <row r="83" spans="1:5">
      <c r="A83" s="26" t="s">
        <v>1050</v>
      </c>
      <c r="B83" s="27">
        <v>2</v>
      </c>
      <c r="C83" s="27">
        <v>10</v>
      </c>
      <c r="D83" s="26" t="s">
        <v>1035</v>
      </c>
      <c r="E83" s="30" t="s">
        <v>1132</v>
      </c>
    </row>
    <row r="84" spans="1:5">
      <c r="A84" s="1" t="s">
        <v>1052</v>
      </c>
      <c r="B84" s="3">
        <v>3</v>
      </c>
      <c r="C84" s="3">
        <v>15</v>
      </c>
      <c r="D84" s="1" t="s">
        <v>1035</v>
      </c>
      <c r="E84" t="s">
        <v>1133</v>
      </c>
    </row>
    <row r="85" spans="1:5">
      <c r="A85" s="26" t="s">
        <v>1052</v>
      </c>
      <c r="B85" s="27">
        <v>3</v>
      </c>
      <c r="C85" s="27">
        <v>15</v>
      </c>
      <c r="D85" s="26" t="s">
        <v>1051</v>
      </c>
      <c r="E85" s="30" t="s">
        <v>1133</v>
      </c>
    </row>
    <row r="86" spans="1:5">
      <c r="A86" t="s">
        <v>1053</v>
      </c>
      <c r="B86" s="3">
        <v>4</v>
      </c>
      <c r="C86" s="3">
        <v>20</v>
      </c>
      <c r="D86" s="1" t="s">
        <v>1051</v>
      </c>
      <c r="E86" t="s">
        <v>1134</v>
      </c>
    </row>
    <row r="87" spans="1:5">
      <c r="A87" s="30" t="s">
        <v>1053</v>
      </c>
      <c r="B87" s="27">
        <v>4</v>
      </c>
      <c r="C87" s="27">
        <v>20</v>
      </c>
      <c r="D87" s="26" t="s">
        <v>1047</v>
      </c>
      <c r="E87" s="30" t="s">
        <v>1134</v>
      </c>
    </row>
    <row r="88" spans="1:5">
      <c r="A88" t="s">
        <v>1054</v>
      </c>
      <c r="B88" s="3">
        <v>5</v>
      </c>
      <c r="C88" s="3">
        <v>50</v>
      </c>
      <c r="D88" s="1" t="s">
        <v>199</v>
      </c>
      <c r="E88" t="s">
        <v>1071</v>
      </c>
    </row>
    <row r="89" spans="1:5">
      <c r="A89" s="30" t="s">
        <v>1054</v>
      </c>
      <c r="B89" s="27">
        <v>5</v>
      </c>
      <c r="C89" s="27">
        <v>40</v>
      </c>
      <c r="D89" s="26" t="s">
        <v>199</v>
      </c>
      <c r="E89" s="30" t="s">
        <v>1420</v>
      </c>
    </row>
    <row r="90" spans="1:5">
      <c r="A90" s="1" t="s">
        <v>1198</v>
      </c>
      <c r="B90" s="3">
        <v>1</v>
      </c>
      <c r="C90" s="3">
        <v>5</v>
      </c>
      <c r="D90" s="1" t="s">
        <v>199</v>
      </c>
      <c r="E90" t="s">
        <v>2150</v>
      </c>
    </row>
    <row r="91" spans="1:5">
      <c r="A91" s="26" t="s">
        <v>2153</v>
      </c>
      <c r="B91" s="27">
        <v>1</v>
      </c>
      <c r="C91" s="27">
        <v>5</v>
      </c>
      <c r="D91" s="26" t="s">
        <v>199</v>
      </c>
      <c r="E91" s="30" t="s">
        <v>2151</v>
      </c>
    </row>
    <row r="92" spans="1:5">
      <c r="A92" s="1" t="s">
        <v>2157</v>
      </c>
      <c r="B92" s="3">
        <v>2</v>
      </c>
      <c r="C92" s="3">
        <v>8</v>
      </c>
      <c r="D92" s="1" t="s">
        <v>199</v>
      </c>
      <c r="E92" t="s">
        <v>2155</v>
      </c>
    </row>
    <row r="93" spans="1:5">
      <c r="A93" s="26" t="s">
        <v>2158</v>
      </c>
      <c r="B93" s="27">
        <v>2</v>
      </c>
      <c r="C93" s="27">
        <v>10</v>
      </c>
      <c r="D93" s="26" t="s">
        <v>199</v>
      </c>
      <c r="E93" s="30" t="s">
        <v>2149</v>
      </c>
    </row>
    <row r="94" spans="1:5">
      <c r="A94" s="1" t="s">
        <v>917</v>
      </c>
      <c r="B94" s="3">
        <v>3</v>
      </c>
      <c r="C94" s="3">
        <v>20</v>
      </c>
      <c r="D94" s="1" t="s">
        <v>199</v>
      </c>
      <c r="E94" t="s">
        <v>2152</v>
      </c>
    </row>
    <row r="95" spans="1:5">
      <c r="A95" s="26" t="s">
        <v>2154</v>
      </c>
      <c r="B95" s="27">
        <v>3</v>
      </c>
      <c r="C95" s="27">
        <v>15</v>
      </c>
      <c r="D95" s="26" t="s">
        <v>199</v>
      </c>
      <c r="E95" s="30" t="s">
        <v>2156</v>
      </c>
    </row>
    <row r="96" spans="1:5">
      <c r="A96" t="s">
        <v>1141</v>
      </c>
      <c r="B96" s="3">
        <v>1</v>
      </c>
      <c r="C96" s="3">
        <v>3</v>
      </c>
      <c r="D96" s="1" t="s">
        <v>1038</v>
      </c>
      <c r="E96" t="s">
        <v>2518</v>
      </c>
    </row>
    <row r="97" spans="1:14">
      <c r="A97" s="30" t="s">
        <v>1141</v>
      </c>
      <c r="B97" s="27">
        <v>1</v>
      </c>
      <c r="C97" s="27">
        <v>3</v>
      </c>
      <c r="D97" s="26" t="s">
        <v>1038</v>
      </c>
      <c r="E97" s="30" t="s">
        <v>2519</v>
      </c>
    </row>
    <row r="98" spans="1:14">
      <c r="A98" t="s">
        <v>1093</v>
      </c>
      <c r="B98" s="3">
        <v>2</v>
      </c>
      <c r="C98" s="3">
        <v>10</v>
      </c>
      <c r="D98" s="1" t="s">
        <v>199</v>
      </c>
      <c r="E98" t="s">
        <v>1135</v>
      </c>
    </row>
    <row r="99" spans="1:14">
      <c r="A99" s="30" t="s">
        <v>1093</v>
      </c>
      <c r="B99" s="27">
        <v>2</v>
      </c>
      <c r="C99" s="27">
        <v>10</v>
      </c>
      <c r="D99" s="26" t="s">
        <v>199</v>
      </c>
      <c r="E99" s="30" t="s">
        <v>1136</v>
      </c>
      <c r="F99" s="19"/>
      <c r="G99" s="19"/>
      <c r="H99" s="19"/>
      <c r="I99" s="19"/>
      <c r="J99" s="19"/>
      <c r="K99" s="19"/>
      <c r="L99" s="19"/>
      <c r="M99" s="19"/>
    </row>
    <row r="100" spans="1:14">
      <c r="A100" t="s">
        <v>1086</v>
      </c>
      <c r="B100" s="3">
        <v>3</v>
      </c>
      <c r="C100" s="3">
        <v>15</v>
      </c>
      <c r="D100" s="1" t="s">
        <v>1035</v>
      </c>
      <c r="E100" t="s">
        <v>1087</v>
      </c>
    </row>
    <row r="101" spans="1:14">
      <c r="A101" s="30" t="s">
        <v>1085</v>
      </c>
      <c r="B101" s="27">
        <v>3</v>
      </c>
      <c r="C101" s="27">
        <v>15</v>
      </c>
      <c r="D101" s="26" t="s">
        <v>1051</v>
      </c>
      <c r="E101" s="30" t="s">
        <v>1088</v>
      </c>
      <c r="F101" s="19"/>
      <c r="G101" s="19"/>
      <c r="H101" s="19"/>
    </row>
    <row r="102" spans="1:14">
      <c r="A102" t="s">
        <v>1089</v>
      </c>
      <c r="B102" s="3">
        <v>4</v>
      </c>
      <c r="C102" s="3">
        <v>20</v>
      </c>
      <c r="D102" s="1" t="s">
        <v>1047</v>
      </c>
      <c r="E102" t="s">
        <v>1097</v>
      </c>
    </row>
    <row r="103" spans="1:14">
      <c r="A103" s="30" t="s">
        <v>1090</v>
      </c>
      <c r="B103" s="27">
        <v>4</v>
      </c>
      <c r="C103" s="27">
        <v>20</v>
      </c>
      <c r="D103" s="26" t="s">
        <v>1047</v>
      </c>
      <c r="E103" s="30" t="s">
        <v>2097</v>
      </c>
    </row>
    <row r="104" spans="1:14">
      <c r="A104" t="s">
        <v>1091</v>
      </c>
      <c r="B104" s="3">
        <v>5</v>
      </c>
      <c r="C104" s="3">
        <v>25</v>
      </c>
      <c r="D104" s="1" t="s">
        <v>1092</v>
      </c>
      <c r="E104" t="s">
        <v>1137</v>
      </c>
    </row>
    <row r="105" spans="1:14">
      <c r="A105" s="30" t="s">
        <v>1091</v>
      </c>
      <c r="B105" s="27">
        <v>5</v>
      </c>
      <c r="C105" s="27">
        <v>25</v>
      </c>
      <c r="D105" s="26" t="s">
        <v>1040</v>
      </c>
      <c r="E105" s="30" t="s">
        <v>1137</v>
      </c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1:14">
      <c r="A106" t="s">
        <v>2516</v>
      </c>
      <c r="B106" s="3">
        <v>1</v>
      </c>
      <c r="C106" s="3">
        <v>3</v>
      </c>
      <c r="D106" s="1" t="s">
        <v>1038</v>
      </c>
      <c r="E106" t="s">
        <v>2520</v>
      </c>
    </row>
    <row r="107" spans="1:14">
      <c r="A107" s="30" t="s">
        <v>2517</v>
      </c>
      <c r="B107" s="27">
        <v>1</v>
      </c>
      <c r="C107" s="27">
        <v>3</v>
      </c>
      <c r="D107" s="26" t="s">
        <v>1036</v>
      </c>
      <c r="E107" s="30" t="s">
        <v>2521</v>
      </c>
    </row>
    <row r="108" spans="1:14">
      <c r="A108" t="s">
        <v>1106</v>
      </c>
      <c r="B108" s="3">
        <v>3</v>
      </c>
      <c r="C108" s="3">
        <v>15</v>
      </c>
      <c r="D108" s="1" t="s">
        <v>1051</v>
      </c>
      <c r="E108" t="s">
        <v>1109</v>
      </c>
    </row>
    <row r="109" spans="1:14">
      <c r="A109" s="30" t="s">
        <v>1107</v>
      </c>
      <c r="B109" s="27">
        <v>3</v>
      </c>
      <c r="C109" s="27">
        <v>15</v>
      </c>
      <c r="D109" s="26" t="s">
        <v>1051</v>
      </c>
      <c r="E109" s="30" t="s">
        <v>1108</v>
      </c>
    </row>
    <row r="110" spans="1:14">
      <c r="A110" t="s">
        <v>1110</v>
      </c>
      <c r="B110" s="3">
        <v>4</v>
      </c>
      <c r="C110" s="3">
        <v>30</v>
      </c>
      <c r="D110" s="1" t="s">
        <v>1092</v>
      </c>
      <c r="E110" t="s">
        <v>2095</v>
      </c>
    </row>
    <row r="111" spans="1:14">
      <c r="A111" s="30" t="s">
        <v>1111</v>
      </c>
      <c r="B111" s="27">
        <v>4</v>
      </c>
      <c r="C111" s="27">
        <v>40</v>
      </c>
      <c r="D111" s="26" t="s">
        <v>199</v>
      </c>
      <c r="E111" s="30" t="s">
        <v>1114</v>
      </c>
    </row>
    <row r="112" spans="1:14">
      <c r="A112" t="s">
        <v>1111</v>
      </c>
      <c r="B112" s="3">
        <v>5</v>
      </c>
      <c r="C112" s="3">
        <v>60</v>
      </c>
      <c r="D112" s="1" t="s">
        <v>199</v>
      </c>
      <c r="E112" t="s">
        <v>1114</v>
      </c>
    </row>
    <row r="113" spans="1:5">
      <c r="A113" s="30" t="s">
        <v>1112</v>
      </c>
      <c r="B113" s="27">
        <v>5</v>
      </c>
      <c r="C113" s="27">
        <v>30</v>
      </c>
      <c r="D113" s="26" t="s">
        <v>1092</v>
      </c>
      <c r="E113" s="30" t="s">
        <v>1113</v>
      </c>
    </row>
    <row r="114" spans="1:5" s="1" customFormat="1">
      <c r="A114" s="1" t="s">
        <v>1162</v>
      </c>
      <c r="B114" s="3">
        <v>2</v>
      </c>
      <c r="C114" s="3">
        <v>10</v>
      </c>
      <c r="D114" s="1" t="s">
        <v>1035</v>
      </c>
      <c r="E114" s="1" t="s">
        <v>1173</v>
      </c>
    </row>
    <row r="115" spans="1:5" s="1" customFormat="1">
      <c r="A115" s="26" t="s">
        <v>1161</v>
      </c>
      <c r="B115" s="27">
        <v>2</v>
      </c>
      <c r="C115" s="27">
        <v>10</v>
      </c>
      <c r="D115" s="26" t="s">
        <v>1035</v>
      </c>
      <c r="E115" s="26" t="s">
        <v>2401</v>
      </c>
    </row>
    <row r="116" spans="1:5" s="1" customFormat="1">
      <c r="A116" s="1" t="s">
        <v>1161</v>
      </c>
      <c r="B116" s="3">
        <v>3</v>
      </c>
      <c r="C116" s="3">
        <v>20</v>
      </c>
      <c r="D116" s="1" t="s">
        <v>1051</v>
      </c>
      <c r="E116" s="1" t="s">
        <v>1174</v>
      </c>
    </row>
    <row r="117" spans="1:5" s="1" customFormat="1">
      <c r="A117" s="26" t="s">
        <v>1160</v>
      </c>
      <c r="B117" s="27">
        <v>3</v>
      </c>
      <c r="C117" s="27">
        <v>15</v>
      </c>
      <c r="D117" s="26" t="s">
        <v>1051</v>
      </c>
      <c r="E117" s="26" t="s">
        <v>2402</v>
      </c>
    </row>
    <row r="118" spans="1:5" s="1" customFormat="1">
      <c r="A118" s="1" t="s">
        <v>1170</v>
      </c>
      <c r="B118" s="3">
        <v>4</v>
      </c>
      <c r="C118" s="3">
        <v>25</v>
      </c>
      <c r="D118" s="1" t="s">
        <v>1047</v>
      </c>
      <c r="E118" s="1" t="s">
        <v>1172</v>
      </c>
    </row>
    <row r="119" spans="1:5" s="1" customFormat="1">
      <c r="A119" s="26" t="s">
        <v>1170</v>
      </c>
      <c r="B119" s="27">
        <v>4</v>
      </c>
      <c r="C119" s="27">
        <v>25</v>
      </c>
      <c r="D119" s="26" t="s">
        <v>1040</v>
      </c>
      <c r="E119" s="26" t="s">
        <v>2096</v>
      </c>
    </row>
    <row r="120" spans="1:5" s="1" customFormat="1">
      <c r="A120" s="1" t="s">
        <v>1163</v>
      </c>
      <c r="B120" s="3">
        <v>5</v>
      </c>
      <c r="C120" s="3">
        <v>40</v>
      </c>
      <c r="D120" s="1" t="s">
        <v>1040</v>
      </c>
      <c r="E120" s="1" t="s">
        <v>1164</v>
      </c>
    </row>
    <row r="121" spans="1:5" s="1" customFormat="1">
      <c r="A121" s="26" t="s">
        <v>1163</v>
      </c>
      <c r="B121" s="27">
        <v>5</v>
      </c>
      <c r="C121" s="27">
        <v>40</v>
      </c>
      <c r="D121" s="26" t="s">
        <v>1040</v>
      </c>
      <c r="E121" s="26" t="s">
        <v>1165</v>
      </c>
    </row>
    <row r="122" spans="1:5" s="1" customFormat="1">
      <c r="A122" s="1" t="s">
        <v>1115</v>
      </c>
      <c r="B122" s="3" t="s">
        <v>199</v>
      </c>
      <c r="C122" s="3">
        <v>15</v>
      </c>
      <c r="D122" s="1" t="s">
        <v>199</v>
      </c>
      <c r="E122" s="1" t="s">
        <v>1116</v>
      </c>
    </row>
    <row r="123" spans="1:5" s="1" customFormat="1">
      <c r="A123" s="26" t="s">
        <v>1115</v>
      </c>
      <c r="B123" s="27" t="s">
        <v>199</v>
      </c>
      <c r="C123" s="27">
        <v>15</v>
      </c>
      <c r="D123" s="26" t="s">
        <v>199</v>
      </c>
      <c r="E123" s="26" t="s">
        <v>1117</v>
      </c>
    </row>
    <row r="124" spans="1:5" s="1" customFormat="1">
      <c r="A124" s="1" t="s">
        <v>1119</v>
      </c>
      <c r="B124" s="3" t="s">
        <v>199</v>
      </c>
      <c r="C124" s="3">
        <v>5</v>
      </c>
      <c r="D124" s="1" t="s">
        <v>199</v>
      </c>
      <c r="E124" s="1" t="s">
        <v>1121</v>
      </c>
    </row>
    <row r="125" spans="1:5" s="1" customFormat="1">
      <c r="A125" s="26" t="s">
        <v>1119</v>
      </c>
      <c r="B125" s="27" t="s">
        <v>199</v>
      </c>
      <c r="C125" s="27">
        <v>25</v>
      </c>
      <c r="D125" s="26" t="s">
        <v>199</v>
      </c>
      <c r="E125" s="26" t="s">
        <v>1120</v>
      </c>
    </row>
    <row r="126" spans="1:5" s="1" customFormat="1">
      <c r="A126" s="1" t="s">
        <v>1118</v>
      </c>
      <c r="B126" s="3" t="s">
        <v>199</v>
      </c>
      <c r="C126" s="3">
        <v>50</v>
      </c>
      <c r="D126" s="1" t="s">
        <v>199</v>
      </c>
      <c r="E126" s="1" t="s">
        <v>1071</v>
      </c>
    </row>
    <row r="127" spans="1:5" s="1" customFormat="1">
      <c r="A127" s="26" t="s">
        <v>1118</v>
      </c>
      <c r="B127" s="27" t="s">
        <v>199</v>
      </c>
      <c r="C127" s="27">
        <v>40</v>
      </c>
      <c r="D127" s="26" t="s">
        <v>199</v>
      </c>
      <c r="E127" s="26" t="s">
        <v>1421</v>
      </c>
    </row>
  </sheetData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37"/>
  <sheetViews>
    <sheetView workbookViewId="0">
      <pane ySplit="1" topLeftCell="A2" activePane="bottomLeft" state="frozen"/>
      <selection pane="bottomLeft" activeCell="Y3" sqref="Y3:Z5"/>
    </sheetView>
  </sheetViews>
  <sheetFormatPr defaultRowHeight="15"/>
  <cols>
    <col min="1" max="1" width="28.5703125" style="1" customWidth="1"/>
    <col min="2" max="2" width="9.28515625" style="4" customWidth="1"/>
    <col min="3" max="4" width="10" style="4" customWidth="1"/>
    <col min="5" max="17" width="4.7109375" style="4" customWidth="1"/>
    <col min="18" max="22" width="5.7109375" style="4" customWidth="1"/>
    <col min="23" max="23" width="46.42578125" style="4" customWidth="1"/>
    <col min="26" max="26" width="15.7109375" customWidth="1"/>
  </cols>
  <sheetData>
    <row r="1" spans="1:26" ht="15.75" thickBot="1">
      <c r="A1" s="7" t="s">
        <v>2070</v>
      </c>
      <c r="B1" s="21" t="s">
        <v>1030</v>
      </c>
      <c r="C1" s="21" t="s">
        <v>2071</v>
      </c>
      <c r="D1" s="14" t="s">
        <v>53</v>
      </c>
      <c r="E1" s="21" t="s">
        <v>2062</v>
      </c>
      <c r="F1" s="14" t="s">
        <v>2063</v>
      </c>
      <c r="G1" s="21" t="s">
        <v>2064</v>
      </c>
      <c r="H1" s="14" t="s">
        <v>2065</v>
      </c>
      <c r="I1" s="14" t="s">
        <v>2066</v>
      </c>
      <c r="J1" s="21" t="s">
        <v>2067</v>
      </c>
      <c r="K1" s="14" t="s">
        <v>2068</v>
      </c>
      <c r="L1" s="21" t="s">
        <v>2069</v>
      </c>
      <c r="M1" s="14" t="s">
        <v>35</v>
      </c>
      <c r="N1" s="21" t="s">
        <v>36</v>
      </c>
      <c r="O1" s="14" t="s">
        <v>37</v>
      </c>
      <c r="P1" s="14" t="s">
        <v>38</v>
      </c>
      <c r="Q1" s="14" t="s">
        <v>42</v>
      </c>
      <c r="R1" s="21" t="s">
        <v>1</v>
      </c>
      <c r="S1" s="14" t="s">
        <v>3</v>
      </c>
      <c r="T1" s="14" t="s">
        <v>5</v>
      </c>
      <c r="U1" s="14" t="s">
        <v>4</v>
      </c>
      <c r="V1" s="14" t="s">
        <v>2</v>
      </c>
      <c r="W1" s="56" t="s">
        <v>2072</v>
      </c>
    </row>
    <row r="2" spans="1:26" ht="15.75" thickBot="1">
      <c r="A2" s="1" t="s">
        <v>2078</v>
      </c>
      <c r="B2" s="4" t="s">
        <v>158</v>
      </c>
      <c r="C2" s="4" t="s">
        <v>248</v>
      </c>
      <c r="D2" s="4" t="s">
        <v>379</v>
      </c>
      <c r="E2" s="4" t="s">
        <v>153</v>
      </c>
      <c r="F2" s="4" t="s">
        <v>154</v>
      </c>
      <c r="G2" s="4" t="s">
        <v>153</v>
      </c>
      <c r="H2" s="4" t="s">
        <v>495</v>
      </c>
      <c r="I2" s="4" t="s">
        <v>157</v>
      </c>
      <c r="J2" s="4" t="s">
        <v>327</v>
      </c>
      <c r="K2" s="4" t="s">
        <v>156</v>
      </c>
      <c r="L2" s="4" t="s">
        <v>495</v>
      </c>
      <c r="M2" s="4" t="s">
        <v>153</v>
      </c>
      <c r="N2" s="4" t="s">
        <v>153</v>
      </c>
      <c r="O2" s="4" t="s">
        <v>153</v>
      </c>
      <c r="P2" s="4" t="s">
        <v>332</v>
      </c>
      <c r="Q2" s="4" t="s">
        <v>153</v>
      </c>
      <c r="R2" s="4" t="s">
        <v>19</v>
      </c>
      <c r="W2" s="4" t="s">
        <v>2084</v>
      </c>
    </row>
    <row r="3" spans="1:26">
      <c r="A3" s="26" t="s">
        <v>2082</v>
      </c>
      <c r="B3" s="28" t="s">
        <v>153</v>
      </c>
      <c r="C3" s="28" t="s">
        <v>250</v>
      </c>
      <c r="D3" s="28" t="s">
        <v>845</v>
      </c>
      <c r="E3" s="28" t="s">
        <v>327</v>
      </c>
      <c r="F3" s="28" t="s">
        <v>154</v>
      </c>
      <c r="G3" s="28" t="s">
        <v>153</v>
      </c>
      <c r="H3" s="28" t="s">
        <v>495</v>
      </c>
      <c r="I3" s="28" t="s">
        <v>157</v>
      </c>
      <c r="J3" s="28" t="s">
        <v>327</v>
      </c>
      <c r="K3" s="28" t="s">
        <v>156</v>
      </c>
      <c r="L3" s="28" t="s">
        <v>495</v>
      </c>
      <c r="M3" s="28" t="s">
        <v>153</v>
      </c>
      <c r="N3" s="28" t="s">
        <v>153</v>
      </c>
      <c r="O3" s="28" t="s">
        <v>153</v>
      </c>
      <c r="P3" s="28" t="s">
        <v>332</v>
      </c>
      <c r="Q3" s="28" t="s">
        <v>153</v>
      </c>
      <c r="R3" s="28" t="s">
        <v>867</v>
      </c>
      <c r="S3" s="28"/>
      <c r="T3" s="28"/>
      <c r="U3" s="28"/>
      <c r="V3" s="28" t="s">
        <v>77</v>
      </c>
      <c r="W3" s="28" t="s">
        <v>2084</v>
      </c>
      <c r="Y3" s="35"/>
      <c r="Z3" s="22" t="s">
        <v>72</v>
      </c>
    </row>
    <row r="4" spans="1:26">
      <c r="A4" s="1" t="s">
        <v>2082</v>
      </c>
      <c r="B4" s="4" t="s">
        <v>153</v>
      </c>
      <c r="C4" s="4" t="s">
        <v>330</v>
      </c>
      <c r="D4" s="4" t="s">
        <v>248</v>
      </c>
      <c r="E4" s="4" t="s">
        <v>155</v>
      </c>
      <c r="F4" s="4" t="s">
        <v>156</v>
      </c>
      <c r="G4" s="4" t="s">
        <v>155</v>
      </c>
      <c r="H4" s="4" t="s">
        <v>495</v>
      </c>
      <c r="I4" s="4" t="s">
        <v>157</v>
      </c>
      <c r="J4" s="4" t="s">
        <v>153</v>
      </c>
      <c r="K4" s="4" t="s">
        <v>156</v>
      </c>
      <c r="L4" s="4" t="s">
        <v>495</v>
      </c>
      <c r="M4" s="4" t="s">
        <v>458</v>
      </c>
      <c r="N4" s="4" t="s">
        <v>458</v>
      </c>
      <c r="O4" s="4" t="s">
        <v>458</v>
      </c>
      <c r="P4" s="4" t="s">
        <v>379</v>
      </c>
      <c r="Q4" s="4" t="s">
        <v>458</v>
      </c>
      <c r="R4" s="4" t="s">
        <v>1850</v>
      </c>
      <c r="W4" s="4" t="s">
        <v>2085</v>
      </c>
      <c r="Y4" s="43"/>
      <c r="Z4" s="44" t="s">
        <v>73</v>
      </c>
    </row>
    <row r="5" spans="1:26" ht="15.75" thickBot="1">
      <c r="A5" s="26" t="s">
        <v>2078</v>
      </c>
      <c r="B5" s="28" t="s">
        <v>458</v>
      </c>
      <c r="C5" s="28" t="s">
        <v>630</v>
      </c>
      <c r="D5" s="28" t="s">
        <v>250</v>
      </c>
      <c r="E5" s="28" t="s">
        <v>153</v>
      </c>
      <c r="F5" s="28" t="s">
        <v>156</v>
      </c>
      <c r="G5" s="28" t="s">
        <v>155</v>
      </c>
      <c r="H5" s="28" t="s">
        <v>495</v>
      </c>
      <c r="I5" s="28" t="s">
        <v>157</v>
      </c>
      <c r="J5" s="28" t="s">
        <v>153</v>
      </c>
      <c r="K5" s="28" t="s">
        <v>156</v>
      </c>
      <c r="L5" s="28" t="s">
        <v>495</v>
      </c>
      <c r="M5" s="28" t="s">
        <v>458</v>
      </c>
      <c r="N5" s="28" t="s">
        <v>458</v>
      </c>
      <c r="O5" s="28" t="s">
        <v>458</v>
      </c>
      <c r="P5" s="28" t="s">
        <v>379</v>
      </c>
      <c r="Q5" s="28" t="s">
        <v>458</v>
      </c>
      <c r="R5" s="28" t="s">
        <v>1888</v>
      </c>
      <c r="S5" s="28"/>
      <c r="T5" s="28"/>
      <c r="U5" s="28"/>
      <c r="V5" s="28" t="s">
        <v>110</v>
      </c>
      <c r="W5" s="28" t="s">
        <v>2085</v>
      </c>
      <c r="Y5" s="51"/>
      <c r="Z5" s="45" t="s">
        <v>929</v>
      </c>
    </row>
    <row r="6" spans="1:26">
      <c r="A6" s="10" t="s">
        <v>2079</v>
      </c>
      <c r="B6" s="4" t="s">
        <v>332</v>
      </c>
      <c r="C6" s="4" t="s">
        <v>291</v>
      </c>
      <c r="D6" s="4" t="s">
        <v>630</v>
      </c>
      <c r="E6" s="4" t="s">
        <v>458</v>
      </c>
      <c r="F6" s="4" t="s">
        <v>153</v>
      </c>
      <c r="G6" s="4" t="s">
        <v>458</v>
      </c>
      <c r="H6" s="4" t="s">
        <v>495</v>
      </c>
      <c r="I6" s="4" t="s">
        <v>157</v>
      </c>
      <c r="J6" s="4" t="s">
        <v>242</v>
      </c>
      <c r="K6" s="4" t="s">
        <v>156</v>
      </c>
      <c r="L6" s="4" t="s">
        <v>495</v>
      </c>
      <c r="M6" s="4" t="s">
        <v>332</v>
      </c>
      <c r="N6" s="4" t="s">
        <v>332</v>
      </c>
      <c r="O6" s="4" t="s">
        <v>332</v>
      </c>
      <c r="P6" s="4" t="s">
        <v>248</v>
      </c>
      <c r="Q6" s="4" t="s">
        <v>332</v>
      </c>
      <c r="R6" s="4" t="s">
        <v>19</v>
      </c>
      <c r="W6" s="4" t="s">
        <v>2086</v>
      </c>
    </row>
    <row r="7" spans="1:26">
      <c r="A7" s="26" t="s">
        <v>2079</v>
      </c>
      <c r="B7" s="28" t="s">
        <v>332</v>
      </c>
      <c r="C7" s="28" t="s">
        <v>560</v>
      </c>
      <c r="D7" s="28" t="s">
        <v>630</v>
      </c>
      <c r="E7" s="28" t="s">
        <v>242</v>
      </c>
      <c r="F7" s="28" t="s">
        <v>153</v>
      </c>
      <c r="G7" s="28" t="s">
        <v>160</v>
      </c>
      <c r="H7" s="28" t="s">
        <v>495</v>
      </c>
      <c r="I7" s="28" t="s">
        <v>157</v>
      </c>
      <c r="J7" s="28" t="s">
        <v>242</v>
      </c>
      <c r="K7" s="28" t="s">
        <v>156</v>
      </c>
      <c r="L7" s="28" t="s">
        <v>495</v>
      </c>
      <c r="M7" s="28" t="s">
        <v>332</v>
      </c>
      <c r="N7" s="28" t="s">
        <v>332</v>
      </c>
      <c r="O7" s="28" t="s">
        <v>332</v>
      </c>
      <c r="P7" s="28" t="s">
        <v>248</v>
      </c>
      <c r="Q7" s="28" t="s">
        <v>332</v>
      </c>
      <c r="R7" s="28" t="s">
        <v>2087</v>
      </c>
      <c r="S7" s="28"/>
      <c r="T7" s="28"/>
      <c r="U7" s="28"/>
      <c r="V7" s="28" t="s">
        <v>232</v>
      </c>
      <c r="W7" s="28" t="s">
        <v>2091</v>
      </c>
    </row>
    <row r="8" spans="1:26">
      <c r="A8" s="10" t="s">
        <v>2080</v>
      </c>
      <c r="B8" s="4">
        <v>35</v>
      </c>
      <c r="C8" s="4" t="s">
        <v>331</v>
      </c>
      <c r="D8" s="4" t="s">
        <v>331</v>
      </c>
      <c r="E8" s="4">
        <v>18</v>
      </c>
      <c r="F8" s="4" t="s">
        <v>155</v>
      </c>
      <c r="G8" s="4">
        <v>18</v>
      </c>
      <c r="H8" s="4" t="s">
        <v>495</v>
      </c>
      <c r="I8" s="4" t="s">
        <v>157</v>
      </c>
      <c r="J8" s="4" t="s">
        <v>155</v>
      </c>
      <c r="K8" s="4" t="s">
        <v>156</v>
      </c>
      <c r="L8" s="4" t="s">
        <v>495</v>
      </c>
      <c r="M8" s="4" t="s">
        <v>501</v>
      </c>
      <c r="N8" s="4">
        <v>30</v>
      </c>
      <c r="O8" s="4" t="s">
        <v>501</v>
      </c>
      <c r="P8" s="4" t="s">
        <v>330</v>
      </c>
      <c r="Q8" s="4" t="s">
        <v>501</v>
      </c>
      <c r="R8" s="4" t="s">
        <v>181</v>
      </c>
      <c r="U8" s="4" t="s">
        <v>19</v>
      </c>
      <c r="W8" s="4" t="s">
        <v>2073</v>
      </c>
    </row>
    <row r="9" spans="1:26">
      <c r="A9" s="26" t="s">
        <v>2081</v>
      </c>
      <c r="B9" s="28" t="s">
        <v>501</v>
      </c>
      <c r="C9" s="28" t="s">
        <v>212</v>
      </c>
      <c r="D9" s="28" t="s">
        <v>212</v>
      </c>
      <c r="E9" s="28" t="s">
        <v>2088</v>
      </c>
      <c r="F9" s="28" t="s">
        <v>155</v>
      </c>
      <c r="G9" s="28" t="s">
        <v>2092</v>
      </c>
      <c r="H9" s="28" t="s">
        <v>495</v>
      </c>
      <c r="I9" s="28" t="s">
        <v>157</v>
      </c>
      <c r="J9" s="28" t="s">
        <v>155</v>
      </c>
      <c r="K9" s="28" t="s">
        <v>156</v>
      </c>
      <c r="L9" s="28" t="s">
        <v>495</v>
      </c>
      <c r="M9" s="28" t="s">
        <v>501</v>
      </c>
      <c r="N9" s="28">
        <v>30</v>
      </c>
      <c r="O9" s="28" t="s">
        <v>501</v>
      </c>
      <c r="P9" s="28" t="s">
        <v>330</v>
      </c>
      <c r="Q9" s="28" t="s">
        <v>501</v>
      </c>
      <c r="R9" s="28" t="s">
        <v>146</v>
      </c>
      <c r="S9" s="28"/>
      <c r="T9" s="28"/>
      <c r="U9" s="28" t="s">
        <v>19</v>
      </c>
      <c r="V9" s="28" t="s">
        <v>19</v>
      </c>
      <c r="W9" s="28" t="s">
        <v>2093</v>
      </c>
    </row>
    <row r="10" spans="1:26">
      <c r="A10" s="10" t="s">
        <v>1107</v>
      </c>
      <c r="B10" s="4" t="s">
        <v>156</v>
      </c>
      <c r="C10" s="4" t="s">
        <v>246</v>
      </c>
      <c r="D10" s="4" t="s">
        <v>2104</v>
      </c>
      <c r="E10" s="4" t="s">
        <v>2105</v>
      </c>
      <c r="F10" s="4" t="s">
        <v>155</v>
      </c>
      <c r="G10" s="4" t="s">
        <v>153</v>
      </c>
      <c r="H10" s="4" t="s">
        <v>665</v>
      </c>
      <c r="I10" s="4" t="s">
        <v>665</v>
      </c>
      <c r="J10" s="4" t="s">
        <v>156</v>
      </c>
      <c r="K10" s="4" t="s">
        <v>327</v>
      </c>
      <c r="L10" s="4" t="s">
        <v>156</v>
      </c>
      <c r="M10" s="4" t="s">
        <v>184</v>
      </c>
      <c r="N10" s="4" t="s">
        <v>158</v>
      </c>
      <c r="P10" s="4" t="s">
        <v>247</v>
      </c>
      <c r="R10" s="4" t="s">
        <v>100</v>
      </c>
      <c r="V10" s="4" t="s">
        <v>100</v>
      </c>
      <c r="W10" s="4" t="s">
        <v>2084</v>
      </c>
    </row>
    <row r="11" spans="1:26">
      <c r="A11" s="26" t="s">
        <v>1107</v>
      </c>
      <c r="B11" s="28" t="s">
        <v>155</v>
      </c>
      <c r="C11" s="28" t="s">
        <v>2106</v>
      </c>
      <c r="D11" s="28" t="s">
        <v>250</v>
      </c>
      <c r="E11" s="28" t="s">
        <v>332</v>
      </c>
      <c r="F11" s="28" t="s">
        <v>155</v>
      </c>
      <c r="G11" s="28" t="s">
        <v>153</v>
      </c>
      <c r="H11" s="28" t="s">
        <v>495</v>
      </c>
      <c r="I11" s="28" t="s">
        <v>161</v>
      </c>
      <c r="J11" s="28" t="s">
        <v>156</v>
      </c>
      <c r="K11" s="28" t="s">
        <v>327</v>
      </c>
      <c r="L11" s="28" t="s">
        <v>154</v>
      </c>
      <c r="M11" s="28" t="s">
        <v>184</v>
      </c>
      <c r="N11" s="28" t="s">
        <v>154</v>
      </c>
      <c r="O11" s="28"/>
      <c r="P11" s="28" t="s">
        <v>247</v>
      </c>
      <c r="Q11" s="28"/>
      <c r="R11" s="28" t="s">
        <v>183</v>
      </c>
      <c r="S11" s="28"/>
      <c r="T11" s="28"/>
      <c r="U11" s="28"/>
      <c r="V11" s="28" t="s">
        <v>183</v>
      </c>
      <c r="W11" s="28" t="s">
        <v>2103</v>
      </c>
    </row>
    <row r="12" spans="1:26">
      <c r="A12" s="10" t="s">
        <v>1112</v>
      </c>
      <c r="B12" s="4" t="s">
        <v>501</v>
      </c>
      <c r="C12" s="4" t="s">
        <v>2089</v>
      </c>
      <c r="D12" s="4" t="s">
        <v>2090</v>
      </c>
      <c r="E12" s="4" t="s">
        <v>364</v>
      </c>
      <c r="F12" s="4" t="s">
        <v>155</v>
      </c>
      <c r="G12" s="4" t="s">
        <v>242</v>
      </c>
      <c r="H12" s="4" t="s">
        <v>665</v>
      </c>
      <c r="I12" s="4" t="s">
        <v>665</v>
      </c>
      <c r="J12" s="4" t="s">
        <v>156</v>
      </c>
      <c r="K12" s="4" t="s">
        <v>156</v>
      </c>
      <c r="L12" s="4" t="s">
        <v>617</v>
      </c>
      <c r="M12" s="4" t="s">
        <v>533</v>
      </c>
      <c r="N12" s="4" t="s">
        <v>153</v>
      </c>
      <c r="P12" s="4" t="s">
        <v>247</v>
      </c>
      <c r="R12" s="4" t="s">
        <v>100</v>
      </c>
      <c r="V12" s="4" t="s">
        <v>100</v>
      </c>
      <c r="W12" s="4" t="s">
        <v>2083</v>
      </c>
    </row>
    <row r="13" spans="1:26">
      <c r="A13" s="26" t="s">
        <v>1112</v>
      </c>
      <c r="B13" s="28" t="s">
        <v>379</v>
      </c>
      <c r="C13" s="28" t="s">
        <v>657</v>
      </c>
      <c r="D13" s="28" t="s">
        <v>657</v>
      </c>
      <c r="E13" s="28" t="s">
        <v>364</v>
      </c>
      <c r="F13" s="28" t="s">
        <v>184</v>
      </c>
      <c r="G13" s="28" t="s">
        <v>155</v>
      </c>
      <c r="H13" s="28" t="s">
        <v>495</v>
      </c>
      <c r="I13" s="28" t="s">
        <v>158</v>
      </c>
      <c r="J13" s="28" t="s">
        <v>327</v>
      </c>
      <c r="K13" s="28" t="s">
        <v>153</v>
      </c>
      <c r="L13" s="28" t="s">
        <v>154</v>
      </c>
      <c r="M13" s="28" t="s">
        <v>2094</v>
      </c>
      <c r="N13" s="28" t="s">
        <v>332</v>
      </c>
      <c r="O13" s="28"/>
      <c r="P13" s="28" t="s">
        <v>330</v>
      </c>
      <c r="Q13" s="28"/>
      <c r="R13" s="28" t="s">
        <v>183</v>
      </c>
      <c r="S13" s="28"/>
      <c r="T13" s="28"/>
      <c r="U13" s="28"/>
      <c r="V13" s="28" t="s">
        <v>183</v>
      </c>
      <c r="W13" s="28" t="s">
        <v>2091</v>
      </c>
    </row>
    <row r="14" spans="1:26">
      <c r="A14" s="1" t="s">
        <v>1599</v>
      </c>
      <c r="B14" s="4" t="s">
        <v>332</v>
      </c>
      <c r="C14" s="4" t="s">
        <v>246</v>
      </c>
      <c r="D14" s="4" t="s">
        <v>250</v>
      </c>
      <c r="E14" s="4" t="s">
        <v>155</v>
      </c>
      <c r="F14" s="4" t="s">
        <v>617</v>
      </c>
      <c r="G14" s="4" t="s">
        <v>532</v>
      </c>
      <c r="H14" s="4" t="s">
        <v>665</v>
      </c>
      <c r="I14" s="4" t="s">
        <v>157</v>
      </c>
      <c r="J14" s="4" t="s">
        <v>495</v>
      </c>
      <c r="K14" s="4" t="s">
        <v>155</v>
      </c>
      <c r="L14" s="4" t="s">
        <v>665</v>
      </c>
      <c r="M14" s="4" t="s">
        <v>501</v>
      </c>
      <c r="N14" s="4" t="s">
        <v>247</v>
      </c>
      <c r="O14" s="4" t="s">
        <v>153</v>
      </c>
      <c r="P14" s="4" t="s">
        <v>212</v>
      </c>
      <c r="Q14" s="4" t="s">
        <v>246</v>
      </c>
      <c r="R14" s="4" t="s">
        <v>2076</v>
      </c>
      <c r="W14" s="4" t="s">
        <v>2074</v>
      </c>
    </row>
    <row r="15" spans="1:26">
      <c r="A15" s="26" t="s">
        <v>1599</v>
      </c>
      <c r="B15" s="28" t="s">
        <v>332</v>
      </c>
      <c r="C15" s="28" t="s">
        <v>246</v>
      </c>
      <c r="D15" s="28" t="s">
        <v>250</v>
      </c>
      <c r="E15" s="28" t="s">
        <v>155</v>
      </c>
      <c r="F15" s="28" t="s">
        <v>617</v>
      </c>
      <c r="G15" s="28" t="s">
        <v>184</v>
      </c>
      <c r="H15" s="28" t="s">
        <v>665</v>
      </c>
      <c r="I15" s="28" t="s">
        <v>157</v>
      </c>
      <c r="J15" s="28" t="s">
        <v>495</v>
      </c>
      <c r="K15" s="28" t="s">
        <v>155</v>
      </c>
      <c r="L15" s="28" t="s">
        <v>665</v>
      </c>
      <c r="M15" s="28" t="s">
        <v>501</v>
      </c>
      <c r="N15" s="28" t="s">
        <v>247</v>
      </c>
      <c r="O15" s="28" t="s">
        <v>332</v>
      </c>
      <c r="P15" s="28" t="s">
        <v>212</v>
      </c>
      <c r="Q15" s="28" t="s">
        <v>246</v>
      </c>
      <c r="R15" s="28" t="s">
        <v>46</v>
      </c>
      <c r="S15" s="28"/>
      <c r="T15" s="28"/>
      <c r="U15" s="28"/>
      <c r="V15" s="28" t="s">
        <v>110</v>
      </c>
      <c r="W15" s="28" t="s">
        <v>2074</v>
      </c>
    </row>
    <row r="16" spans="1:26">
      <c r="A16" s="1" t="s">
        <v>1601</v>
      </c>
      <c r="B16" s="4" t="s">
        <v>359</v>
      </c>
      <c r="C16" s="4" t="s">
        <v>246</v>
      </c>
      <c r="D16" s="4" t="s">
        <v>330</v>
      </c>
      <c r="E16" s="4" t="s">
        <v>155</v>
      </c>
      <c r="F16" s="4" t="s">
        <v>617</v>
      </c>
      <c r="G16" s="4" t="s">
        <v>532</v>
      </c>
      <c r="H16" s="4" t="s">
        <v>665</v>
      </c>
      <c r="I16" s="4" t="s">
        <v>157</v>
      </c>
      <c r="J16" s="4" t="s">
        <v>495</v>
      </c>
      <c r="K16" s="4" t="s">
        <v>155</v>
      </c>
      <c r="L16" s="4" t="s">
        <v>665</v>
      </c>
      <c r="M16" s="4" t="s">
        <v>247</v>
      </c>
      <c r="N16" s="4" t="s">
        <v>247</v>
      </c>
      <c r="O16" s="4" t="s">
        <v>153</v>
      </c>
      <c r="P16" s="4" t="s">
        <v>212</v>
      </c>
      <c r="Q16" s="4" t="s">
        <v>246</v>
      </c>
      <c r="R16" s="4" t="s">
        <v>113</v>
      </c>
      <c r="U16" s="4" t="s">
        <v>46</v>
      </c>
      <c r="W16" s="4" t="s">
        <v>2074</v>
      </c>
    </row>
    <row r="17" spans="1:23">
      <c r="A17" s="26" t="s">
        <v>1601</v>
      </c>
      <c r="B17" s="28" t="s">
        <v>359</v>
      </c>
      <c r="C17" s="28" t="s">
        <v>246</v>
      </c>
      <c r="D17" s="28" t="s">
        <v>330</v>
      </c>
      <c r="E17" s="28" t="s">
        <v>155</v>
      </c>
      <c r="F17" s="28" t="s">
        <v>617</v>
      </c>
      <c r="G17" s="28" t="s">
        <v>532</v>
      </c>
      <c r="H17" s="28" t="s">
        <v>665</v>
      </c>
      <c r="I17" s="28" t="s">
        <v>157</v>
      </c>
      <c r="J17" s="28" t="s">
        <v>495</v>
      </c>
      <c r="K17" s="28" t="s">
        <v>155</v>
      </c>
      <c r="L17" s="28" t="s">
        <v>665</v>
      </c>
      <c r="M17" s="28" t="s">
        <v>247</v>
      </c>
      <c r="N17" s="28" t="s">
        <v>247</v>
      </c>
      <c r="O17" s="28" t="s">
        <v>332</v>
      </c>
      <c r="P17" s="28" t="s">
        <v>212</v>
      </c>
      <c r="Q17" s="28" t="s">
        <v>246</v>
      </c>
      <c r="R17" s="28" t="s">
        <v>46</v>
      </c>
      <c r="S17" s="28"/>
      <c r="T17" s="28"/>
      <c r="U17" s="28" t="s">
        <v>146</v>
      </c>
      <c r="V17" s="28" t="s">
        <v>110</v>
      </c>
      <c r="W17" s="28" t="s">
        <v>2074</v>
      </c>
    </row>
    <row r="18" spans="1:23">
      <c r="A18" s="1" t="s">
        <v>1600</v>
      </c>
      <c r="B18" s="4" t="s">
        <v>359</v>
      </c>
      <c r="C18" s="4" t="s">
        <v>246</v>
      </c>
      <c r="D18" s="4" t="s">
        <v>330</v>
      </c>
      <c r="E18" s="4" t="s">
        <v>155</v>
      </c>
      <c r="F18" s="4" t="s">
        <v>617</v>
      </c>
      <c r="G18" s="4" t="s">
        <v>532</v>
      </c>
      <c r="H18" s="4" t="s">
        <v>665</v>
      </c>
      <c r="I18" s="4" t="s">
        <v>154</v>
      </c>
      <c r="J18" s="4" t="s">
        <v>495</v>
      </c>
      <c r="K18" s="4" t="s">
        <v>155</v>
      </c>
      <c r="L18" s="4" t="s">
        <v>665</v>
      </c>
      <c r="M18" s="4" t="s">
        <v>501</v>
      </c>
      <c r="N18" s="4" t="s">
        <v>247</v>
      </c>
      <c r="O18" s="4" t="s">
        <v>153</v>
      </c>
      <c r="P18" s="4" t="s">
        <v>212</v>
      </c>
      <c r="Q18" s="4" t="s">
        <v>246</v>
      </c>
      <c r="R18" s="4" t="s">
        <v>2076</v>
      </c>
      <c r="W18" s="4" t="s">
        <v>2074</v>
      </c>
    </row>
    <row r="19" spans="1:23">
      <c r="A19" s="26" t="s">
        <v>1600</v>
      </c>
      <c r="B19" s="28" t="s">
        <v>359</v>
      </c>
      <c r="C19" s="28" t="s">
        <v>246</v>
      </c>
      <c r="D19" s="28" t="s">
        <v>330</v>
      </c>
      <c r="E19" s="28" t="s">
        <v>155</v>
      </c>
      <c r="F19" s="28" t="s">
        <v>617</v>
      </c>
      <c r="G19" s="28" t="s">
        <v>184</v>
      </c>
      <c r="H19" s="28" t="s">
        <v>665</v>
      </c>
      <c r="I19" s="28" t="s">
        <v>154</v>
      </c>
      <c r="J19" s="28" t="s">
        <v>495</v>
      </c>
      <c r="K19" s="28" t="s">
        <v>155</v>
      </c>
      <c r="L19" s="28" t="s">
        <v>665</v>
      </c>
      <c r="M19" s="28" t="s">
        <v>247</v>
      </c>
      <c r="N19" s="28" t="s">
        <v>247</v>
      </c>
      <c r="O19" s="28" t="s">
        <v>332</v>
      </c>
      <c r="P19" s="28" t="s">
        <v>212</v>
      </c>
      <c r="Q19" s="28" t="s">
        <v>246</v>
      </c>
      <c r="R19" s="28" t="s">
        <v>46</v>
      </c>
      <c r="S19" s="28"/>
      <c r="T19" s="28"/>
      <c r="U19" s="28"/>
      <c r="V19" s="28" t="s">
        <v>110</v>
      </c>
      <c r="W19" s="28" t="s">
        <v>2074</v>
      </c>
    </row>
    <row r="20" spans="1:23">
      <c r="A20" s="1" t="s">
        <v>1603</v>
      </c>
      <c r="B20" s="4" t="s">
        <v>501</v>
      </c>
      <c r="C20" s="4" t="s">
        <v>212</v>
      </c>
      <c r="D20" s="4" t="s">
        <v>246</v>
      </c>
      <c r="E20" s="4" t="s">
        <v>532</v>
      </c>
      <c r="F20" s="4" t="s">
        <v>617</v>
      </c>
      <c r="G20" s="4" t="s">
        <v>532</v>
      </c>
      <c r="H20" s="4" t="s">
        <v>665</v>
      </c>
      <c r="I20" s="4" t="s">
        <v>157</v>
      </c>
      <c r="J20" s="4" t="s">
        <v>495</v>
      </c>
      <c r="K20" s="4" t="s">
        <v>458</v>
      </c>
      <c r="L20" s="4" t="s">
        <v>665</v>
      </c>
      <c r="M20" s="4" t="s">
        <v>248</v>
      </c>
      <c r="N20" s="4" t="s">
        <v>248</v>
      </c>
      <c r="O20" s="4" t="s">
        <v>153</v>
      </c>
      <c r="P20" s="4" t="s">
        <v>212</v>
      </c>
      <c r="Q20" s="4" t="s">
        <v>291</v>
      </c>
      <c r="R20" s="4" t="s">
        <v>2077</v>
      </c>
      <c r="W20" s="4" t="s">
        <v>2073</v>
      </c>
    </row>
    <row r="21" spans="1:23">
      <c r="A21" s="26" t="s">
        <v>1603</v>
      </c>
      <c r="B21" s="28" t="s">
        <v>379</v>
      </c>
      <c r="C21" s="28" t="s">
        <v>331</v>
      </c>
      <c r="D21" s="28" t="s">
        <v>291</v>
      </c>
      <c r="E21" s="28" t="s">
        <v>532</v>
      </c>
      <c r="F21" s="28" t="s">
        <v>617</v>
      </c>
      <c r="G21" s="28" t="s">
        <v>532</v>
      </c>
      <c r="H21" s="28" t="s">
        <v>665</v>
      </c>
      <c r="I21" s="28" t="s">
        <v>157</v>
      </c>
      <c r="J21" s="28" t="s">
        <v>495</v>
      </c>
      <c r="K21" s="28" t="s">
        <v>458</v>
      </c>
      <c r="L21" s="28" t="s">
        <v>665</v>
      </c>
      <c r="M21" s="28" t="s">
        <v>250</v>
      </c>
      <c r="N21" s="28" t="s">
        <v>250</v>
      </c>
      <c r="O21" s="28" t="s">
        <v>501</v>
      </c>
      <c r="P21" s="28" t="s">
        <v>212</v>
      </c>
      <c r="Q21" s="28" t="s">
        <v>291</v>
      </c>
      <c r="R21" s="28" t="s">
        <v>298</v>
      </c>
      <c r="S21" s="28"/>
      <c r="T21" s="28"/>
      <c r="U21" s="28"/>
      <c r="V21" s="28" t="s">
        <v>957</v>
      </c>
      <c r="W21" s="28" t="s">
        <v>2073</v>
      </c>
    </row>
    <row r="22" spans="1:23">
      <c r="A22" s="1" t="s">
        <v>1602</v>
      </c>
      <c r="B22" s="4" t="s">
        <v>248</v>
      </c>
      <c r="C22" s="4" t="s">
        <v>211</v>
      </c>
      <c r="D22" s="4" t="s">
        <v>211</v>
      </c>
      <c r="E22" s="4" t="s">
        <v>532</v>
      </c>
      <c r="F22" s="4" t="s">
        <v>617</v>
      </c>
      <c r="G22" s="4" t="s">
        <v>532</v>
      </c>
      <c r="H22" s="4" t="s">
        <v>665</v>
      </c>
      <c r="I22" s="4" t="s">
        <v>157</v>
      </c>
      <c r="J22" s="4" t="s">
        <v>495</v>
      </c>
      <c r="K22" s="4" t="s">
        <v>332</v>
      </c>
      <c r="L22" s="4" t="s">
        <v>665</v>
      </c>
      <c r="M22" s="4" t="s">
        <v>248</v>
      </c>
      <c r="N22" s="4" t="s">
        <v>248</v>
      </c>
      <c r="O22" s="4" t="s">
        <v>153</v>
      </c>
      <c r="P22" s="4" t="s">
        <v>212</v>
      </c>
      <c r="Q22" s="4" t="s">
        <v>291</v>
      </c>
      <c r="R22" s="4" t="s">
        <v>2077</v>
      </c>
      <c r="T22" s="4" t="s">
        <v>23</v>
      </c>
      <c r="W22" s="4" t="s">
        <v>2073</v>
      </c>
    </row>
    <row r="23" spans="1:23">
      <c r="A23" s="26" t="s">
        <v>1602</v>
      </c>
      <c r="B23" s="28" t="s">
        <v>845</v>
      </c>
      <c r="C23" s="28" t="s">
        <v>210</v>
      </c>
      <c r="D23" s="28" t="s">
        <v>331</v>
      </c>
      <c r="E23" s="28" t="s">
        <v>532</v>
      </c>
      <c r="F23" s="28" t="s">
        <v>617</v>
      </c>
      <c r="G23" s="28" t="s">
        <v>532</v>
      </c>
      <c r="H23" s="28" t="s">
        <v>665</v>
      </c>
      <c r="I23" s="28" t="s">
        <v>157</v>
      </c>
      <c r="J23" s="28" t="s">
        <v>495</v>
      </c>
      <c r="K23" s="28" t="s">
        <v>532</v>
      </c>
      <c r="L23" s="28" t="s">
        <v>665</v>
      </c>
      <c r="M23" s="28" t="s">
        <v>250</v>
      </c>
      <c r="N23" s="28" t="s">
        <v>250</v>
      </c>
      <c r="O23" s="28" t="s">
        <v>248</v>
      </c>
      <c r="P23" s="28" t="s">
        <v>212</v>
      </c>
      <c r="Q23" s="28" t="s">
        <v>660</v>
      </c>
      <c r="R23" s="28" t="s">
        <v>298</v>
      </c>
      <c r="S23" s="28"/>
      <c r="T23" s="28" t="s">
        <v>146</v>
      </c>
      <c r="U23" s="28"/>
      <c r="V23" s="28" t="s">
        <v>957</v>
      </c>
      <c r="W23" s="28" t="s">
        <v>2073</v>
      </c>
    </row>
    <row r="24" spans="1:23">
      <c r="A24" s="1" t="s">
        <v>2454</v>
      </c>
      <c r="B24" s="4" t="s">
        <v>332</v>
      </c>
      <c r="C24" s="4" t="s">
        <v>630</v>
      </c>
      <c r="D24" s="4" t="s">
        <v>2451</v>
      </c>
      <c r="E24" s="4" t="s">
        <v>2088</v>
      </c>
      <c r="F24" s="4" t="s">
        <v>160</v>
      </c>
      <c r="G24" s="4" t="s">
        <v>327</v>
      </c>
      <c r="H24" s="4" t="s">
        <v>156</v>
      </c>
      <c r="I24" s="4" t="s">
        <v>161</v>
      </c>
      <c r="J24" s="4" t="s">
        <v>158</v>
      </c>
      <c r="K24" s="4" t="s">
        <v>617</v>
      </c>
      <c r="L24" s="4" t="s">
        <v>495</v>
      </c>
      <c r="M24" s="4" t="s">
        <v>501</v>
      </c>
      <c r="N24" s="4" t="s">
        <v>501</v>
      </c>
      <c r="O24" s="4" t="s">
        <v>501</v>
      </c>
      <c r="P24" s="4" t="s">
        <v>248</v>
      </c>
      <c r="Q24" s="4" t="s">
        <v>501</v>
      </c>
      <c r="R24" s="4" t="s">
        <v>16</v>
      </c>
      <c r="U24" s="4" t="s">
        <v>56</v>
      </c>
      <c r="W24" s="4" t="s">
        <v>2083</v>
      </c>
    </row>
    <row r="25" spans="1:23">
      <c r="A25" s="26" t="s">
        <v>2454</v>
      </c>
      <c r="B25" s="28" t="s">
        <v>249</v>
      </c>
      <c r="C25" s="28" t="s">
        <v>1869</v>
      </c>
      <c r="D25" s="28" t="s">
        <v>2453</v>
      </c>
      <c r="E25" s="28" t="s">
        <v>835</v>
      </c>
      <c r="F25" s="28" t="s">
        <v>332</v>
      </c>
      <c r="G25" s="28" t="s">
        <v>332</v>
      </c>
      <c r="H25" s="28" t="s">
        <v>158</v>
      </c>
      <c r="I25" s="28" t="s">
        <v>154</v>
      </c>
      <c r="J25" s="28" t="s">
        <v>153</v>
      </c>
      <c r="K25" s="28" t="s">
        <v>327</v>
      </c>
      <c r="L25" s="28" t="s">
        <v>495</v>
      </c>
      <c r="M25" s="28" t="s">
        <v>250</v>
      </c>
      <c r="N25" s="28" t="s">
        <v>250</v>
      </c>
      <c r="O25" s="28" t="s">
        <v>250</v>
      </c>
      <c r="P25" s="28" t="s">
        <v>250</v>
      </c>
      <c r="Q25" s="28" t="s">
        <v>250</v>
      </c>
      <c r="R25" s="28" t="s">
        <v>16</v>
      </c>
      <c r="S25" s="28"/>
      <c r="T25" s="28"/>
      <c r="U25" s="28" t="s">
        <v>56</v>
      </c>
      <c r="V25" s="28"/>
      <c r="W25" s="28" t="s">
        <v>2452</v>
      </c>
    </row>
    <row r="26" spans="1:23">
      <c r="A26" s="1" t="s">
        <v>2424</v>
      </c>
      <c r="B26" s="4" t="s">
        <v>665</v>
      </c>
      <c r="C26" s="4" t="s">
        <v>465</v>
      </c>
      <c r="D26" s="4" t="s">
        <v>465</v>
      </c>
      <c r="E26" s="4" t="s">
        <v>156</v>
      </c>
      <c r="F26" s="4" t="s">
        <v>156</v>
      </c>
      <c r="G26" s="4" t="s">
        <v>156</v>
      </c>
      <c r="H26" s="4" t="s">
        <v>156</v>
      </c>
      <c r="I26" s="4" t="s">
        <v>156</v>
      </c>
      <c r="J26" s="4" t="s">
        <v>156</v>
      </c>
      <c r="K26" s="4" t="s">
        <v>156</v>
      </c>
      <c r="L26" s="4" t="s">
        <v>156</v>
      </c>
    </row>
    <row r="27" spans="1:23">
      <c r="A27" s="26" t="s">
        <v>2424</v>
      </c>
      <c r="B27" s="28" t="s">
        <v>212</v>
      </c>
      <c r="C27" s="28" t="s">
        <v>2425</v>
      </c>
      <c r="D27" s="28" t="s">
        <v>2425</v>
      </c>
      <c r="E27" s="28" t="s">
        <v>155</v>
      </c>
      <c r="F27" s="28" t="s">
        <v>332</v>
      </c>
      <c r="G27" s="28" t="s">
        <v>2092</v>
      </c>
      <c r="H27" s="28" t="s">
        <v>532</v>
      </c>
      <c r="I27" s="28" t="s">
        <v>332</v>
      </c>
      <c r="J27" s="28" t="s">
        <v>332</v>
      </c>
      <c r="K27" s="28" t="s">
        <v>458</v>
      </c>
      <c r="L27" s="28" t="s">
        <v>184</v>
      </c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</row>
    <row r="28" spans="1:23">
      <c r="A28" s="1" t="s">
        <v>2448</v>
      </c>
      <c r="B28" s="4" t="s">
        <v>248</v>
      </c>
      <c r="C28" s="4" t="s">
        <v>2455</v>
      </c>
      <c r="D28" s="4" t="s">
        <v>2456</v>
      </c>
      <c r="E28" s="4" t="s">
        <v>154</v>
      </c>
      <c r="F28" s="4" t="s">
        <v>184</v>
      </c>
      <c r="G28" s="4" t="s">
        <v>532</v>
      </c>
      <c r="H28" s="4" t="s">
        <v>153</v>
      </c>
      <c r="I28" s="4" t="s">
        <v>2092</v>
      </c>
      <c r="J28" s="4" t="s">
        <v>2105</v>
      </c>
      <c r="K28" s="4" t="s">
        <v>458</v>
      </c>
      <c r="L28" s="4" t="s">
        <v>156</v>
      </c>
      <c r="R28" s="4" t="s">
        <v>100</v>
      </c>
      <c r="V28" s="4" t="s">
        <v>100</v>
      </c>
    </row>
    <row r="29" spans="1:23">
      <c r="A29" s="26" t="s">
        <v>2448</v>
      </c>
      <c r="B29" s="28" t="s">
        <v>331</v>
      </c>
      <c r="C29" s="28" t="s">
        <v>205</v>
      </c>
      <c r="D29" s="28" t="s">
        <v>2450</v>
      </c>
      <c r="E29" s="28" t="s">
        <v>2092</v>
      </c>
      <c r="F29" s="28" t="s">
        <v>532</v>
      </c>
      <c r="G29" s="28" t="s">
        <v>332</v>
      </c>
      <c r="H29" s="28" t="s">
        <v>458</v>
      </c>
      <c r="I29" s="28" t="s">
        <v>332</v>
      </c>
      <c r="J29" s="28" t="s">
        <v>2105</v>
      </c>
      <c r="K29" s="28" t="s">
        <v>458</v>
      </c>
      <c r="L29" s="28" t="s">
        <v>458</v>
      </c>
      <c r="M29" s="28" t="s">
        <v>250</v>
      </c>
      <c r="N29" s="28" t="s">
        <v>501</v>
      </c>
      <c r="O29" s="28" t="s">
        <v>501</v>
      </c>
      <c r="P29" s="28" t="s">
        <v>501</v>
      </c>
      <c r="Q29" s="28" t="s">
        <v>501</v>
      </c>
      <c r="R29" s="28" t="s">
        <v>100</v>
      </c>
      <c r="S29" s="28"/>
      <c r="T29" s="28"/>
      <c r="U29" s="28"/>
      <c r="V29" s="28" t="s">
        <v>100</v>
      </c>
      <c r="W29" s="28" t="s">
        <v>2449</v>
      </c>
    </row>
    <row r="30" spans="1:23">
      <c r="A30" s="1" t="s">
        <v>2110</v>
      </c>
      <c r="B30" s="4" t="s">
        <v>248</v>
      </c>
      <c r="C30" s="4" t="s">
        <v>2108</v>
      </c>
      <c r="D30" s="4" t="s">
        <v>2109</v>
      </c>
      <c r="E30" s="4" t="s">
        <v>160</v>
      </c>
      <c r="F30" s="4" t="s">
        <v>184</v>
      </c>
      <c r="G30" s="4" t="s">
        <v>532</v>
      </c>
      <c r="H30" s="4" t="s">
        <v>160</v>
      </c>
      <c r="I30" s="4" t="s">
        <v>332</v>
      </c>
      <c r="J30" s="4" t="s">
        <v>332</v>
      </c>
      <c r="K30" s="4" t="s">
        <v>963</v>
      </c>
      <c r="L30" s="4" t="s">
        <v>2088</v>
      </c>
      <c r="P30" s="4" t="s">
        <v>250</v>
      </c>
    </row>
    <row r="31" spans="1:23">
      <c r="A31" s="26" t="s">
        <v>2110</v>
      </c>
      <c r="B31" s="28" t="s">
        <v>562</v>
      </c>
      <c r="C31" s="28" t="s">
        <v>2357</v>
      </c>
      <c r="D31" s="28" t="s">
        <v>2355</v>
      </c>
      <c r="E31" s="28" t="s">
        <v>160</v>
      </c>
      <c r="F31" s="28" t="s">
        <v>184</v>
      </c>
      <c r="G31" s="28" t="s">
        <v>532</v>
      </c>
      <c r="H31" s="28" t="s">
        <v>160</v>
      </c>
      <c r="I31" s="28" t="s">
        <v>332</v>
      </c>
      <c r="J31" s="28" t="s">
        <v>332</v>
      </c>
      <c r="K31" s="28" t="s">
        <v>963</v>
      </c>
      <c r="L31" s="28" t="s">
        <v>2088</v>
      </c>
      <c r="M31" s="28"/>
      <c r="N31" s="28"/>
      <c r="O31" s="28"/>
      <c r="P31" s="28" t="s">
        <v>250</v>
      </c>
      <c r="Q31" s="28"/>
      <c r="R31" s="28"/>
      <c r="S31" s="28"/>
      <c r="T31" s="28"/>
      <c r="U31" s="28"/>
      <c r="V31" s="28"/>
      <c r="W31" s="28"/>
    </row>
    <row r="32" spans="1:23">
      <c r="A32" s="1" t="s">
        <v>2107</v>
      </c>
      <c r="B32" s="4" t="s">
        <v>248</v>
      </c>
      <c r="C32" s="4" t="s">
        <v>606</v>
      </c>
      <c r="D32" s="4" t="s">
        <v>2109</v>
      </c>
      <c r="E32" s="4" t="s">
        <v>160</v>
      </c>
      <c r="F32" s="4" t="s">
        <v>184</v>
      </c>
      <c r="G32" s="4" t="s">
        <v>532</v>
      </c>
      <c r="H32" s="4" t="s">
        <v>160</v>
      </c>
      <c r="I32" s="4" t="s">
        <v>332</v>
      </c>
      <c r="J32" s="4" t="s">
        <v>332</v>
      </c>
      <c r="K32" s="4" t="s">
        <v>963</v>
      </c>
      <c r="L32" s="4" t="s">
        <v>2088</v>
      </c>
      <c r="M32" s="4" t="s">
        <v>247</v>
      </c>
      <c r="N32" s="4" t="s">
        <v>332</v>
      </c>
      <c r="O32" s="4" t="s">
        <v>2113</v>
      </c>
      <c r="P32" s="4" t="s">
        <v>660</v>
      </c>
    </row>
    <row r="33" spans="1:23">
      <c r="A33" s="26" t="s">
        <v>2107</v>
      </c>
      <c r="B33" s="28" t="s">
        <v>562</v>
      </c>
      <c r="C33" s="28" t="s">
        <v>2358</v>
      </c>
      <c r="D33" s="28" t="s">
        <v>2355</v>
      </c>
      <c r="E33" s="28" t="s">
        <v>160</v>
      </c>
      <c r="F33" s="28" t="s">
        <v>184</v>
      </c>
      <c r="G33" s="28" t="s">
        <v>532</v>
      </c>
      <c r="H33" s="28" t="s">
        <v>160</v>
      </c>
      <c r="I33" s="28" t="s">
        <v>332</v>
      </c>
      <c r="J33" s="28" t="s">
        <v>332</v>
      </c>
      <c r="K33" s="28" t="s">
        <v>963</v>
      </c>
      <c r="L33" s="28" t="s">
        <v>2088</v>
      </c>
      <c r="M33" s="28" t="s">
        <v>247</v>
      </c>
      <c r="N33" s="28" t="s">
        <v>501</v>
      </c>
      <c r="O33" s="28" t="s">
        <v>2113</v>
      </c>
      <c r="P33" s="28" t="s">
        <v>330</v>
      </c>
      <c r="Q33" s="28"/>
      <c r="R33" s="28"/>
      <c r="S33" s="28"/>
      <c r="T33" s="28"/>
      <c r="U33" s="28"/>
      <c r="V33" s="28"/>
      <c r="W33" s="28"/>
    </row>
    <row r="34" spans="1:23">
      <c r="A34" s="1" t="s">
        <v>2112</v>
      </c>
      <c r="B34" s="4" t="s">
        <v>248</v>
      </c>
      <c r="C34" s="4" t="s">
        <v>606</v>
      </c>
      <c r="D34" s="4" t="s">
        <v>2109</v>
      </c>
      <c r="E34" s="4" t="s">
        <v>160</v>
      </c>
      <c r="F34" s="4" t="s">
        <v>184</v>
      </c>
      <c r="G34" s="4" t="s">
        <v>532</v>
      </c>
      <c r="H34" s="4" t="s">
        <v>160</v>
      </c>
      <c r="I34" s="4" t="s">
        <v>332</v>
      </c>
      <c r="J34" s="4" t="s">
        <v>332</v>
      </c>
      <c r="K34" s="4" t="s">
        <v>963</v>
      </c>
      <c r="L34" s="4" t="s">
        <v>2088</v>
      </c>
      <c r="M34" s="4" t="s">
        <v>247</v>
      </c>
      <c r="N34" s="4" t="s">
        <v>332</v>
      </c>
      <c r="O34" s="4" t="s">
        <v>2113</v>
      </c>
      <c r="P34" s="4" t="s">
        <v>660</v>
      </c>
      <c r="R34" s="4" t="s">
        <v>23</v>
      </c>
      <c r="S34" s="4" t="s">
        <v>23</v>
      </c>
      <c r="T34" s="4" t="s">
        <v>23</v>
      </c>
      <c r="U34" s="4" t="s">
        <v>23</v>
      </c>
    </row>
    <row r="35" spans="1:23">
      <c r="A35" s="26" t="s">
        <v>2112</v>
      </c>
      <c r="B35" s="28" t="s">
        <v>562</v>
      </c>
      <c r="C35" s="28" t="s">
        <v>2358</v>
      </c>
      <c r="D35" s="28" t="s">
        <v>2355</v>
      </c>
      <c r="E35" s="28" t="s">
        <v>160</v>
      </c>
      <c r="F35" s="28" t="s">
        <v>184</v>
      </c>
      <c r="G35" s="28" t="s">
        <v>532</v>
      </c>
      <c r="H35" s="28" t="s">
        <v>160</v>
      </c>
      <c r="I35" s="28" t="s">
        <v>332</v>
      </c>
      <c r="J35" s="28" t="s">
        <v>332</v>
      </c>
      <c r="K35" s="28" t="s">
        <v>963</v>
      </c>
      <c r="L35" s="28" t="s">
        <v>2088</v>
      </c>
      <c r="M35" s="28" t="s">
        <v>247</v>
      </c>
      <c r="N35" s="28" t="s">
        <v>501</v>
      </c>
      <c r="O35" s="28" t="s">
        <v>2113</v>
      </c>
      <c r="P35" s="28" t="s">
        <v>330</v>
      </c>
      <c r="Q35" s="28"/>
      <c r="R35" s="28" t="s">
        <v>23</v>
      </c>
      <c r="S35" s="28" t="s">
        <v>23</v>
      </c>
      <c r="T35" s="28" t="s">
        <v>23</v>
      </c>
      <c r="U35" s="28" t="s">
        <v>23</v>
      </c>
      <c r="V35" s="28"/>
      <c r="W35" s="28"/>
    </row>
    <row r="36" spans="1:23">
      <c r="A36" s="1" t="s">
        <v>2111</v>
      </c>
      <c r="B36" s="4" t="s">
        <v>248</v>
      </c>
      <c r="C36" s="4" t="s">
        <v>606</v>
      </c>
      <c r="D36" s="4" t="s">
        <v>2115</v>
      </c>
      <c r="E36" s="4" t="s">
        <v>332</v>
      </c>
      <c r="F36" s="4" t="s">
        <v>963</v>
      </c>
      <c r="G36" s="4" t="s">
        <v>242</v>
      </c>
      <c r="H36" s="4" t="s">
        <v>154</v>
      </c>
      <c r="I36" s="4" t="s">
        <v>332</v>
      </c>
      <c r="J36" s="4" t="s">
        <v>332</v>
      </c>
      <c r="K36" s="4" t="s">
        <v>963</v>
      </c>
      <c r="L36" s="4" t="s">
        <v>2088</v>
      </c>
      <c r="M36" s="4" t="s">
        <v>2114</v>
      </c>
      <c r="N36" s="4" t="s">
        <v>364</v>
      </c>
      <c r="O36" s="4" t="s">
        <v>2113</v>
      </c>
      <c r="P36" s="4" t="s">
        <v>660</v>
      </c>
      <c r="R36" s="4" t="s">
        <v>23</v>
      </c>
      <c r="S36" s="4" t="s">
        <v>23</v>
      </c>
      <c r="T36" s="4" t="s">
        <v>23</v>
      </c>
      <c r="U36" s="4" t="s">
        <v>23</v>
      </c>
    </row>
    <row r="37" spans="1:23">
      <c r="A37" s="26" t="s">
        <v>2111</v>
      </c>
      <c r="B37" s="28" t="s">
        <v>562</v>
      </c>
      <c r="C37" s="28" t="s">
        <v>2359</v>
      </c>
      <c r="D37" s="28" t="s">
        <v>2356</v>
      </c>
      <c r="E37" s="28" t="s">
        <v>332</v>
      </c>
      <c r="F37" s="28" t="s">
        <v>332</v>
      </c>
      <c r="G37" s="28" t="s">
        <v>184</v>
      </c>
      <c r="H37" s="28" t="s">
        <v>154</v>
      </c>
      <c r="I37" s="28" t="s">
        <v>332</v>
      </c>
      <c r="J37" s="28" t="s">
        <v>332</v>
      </c>
      <c r="K37" s="28" t="s">
        <v>963</v>
      </c>
      <c r="L37" s="28" t="s">
        <v>2088</v>
      </c>
      <c r="M37" s="28" t="s">
        <v>330</v>
      </c>
      <c r="N37" s="28" t="s">
        <v>250</v>
      </c>
      <c r="O37" s="28" t="s">
        <v>2113</v>
      </c>
      <c r="P37" s="28" t="s">
        <v>291</v>
      </c>
      <c r="Q37" s="28"/>
      <c r="R37" s="28" t="s">
        <v>23</v>
      </c>
      <c r="S37" s="28" t="s">
        <v>23</v>
      </c>
      <c r="T37" s="28" t="s">
        <v>23</v>
      </c>
      <c r="U37" s="28" t="s">
        <v>23</v>
      </c>
      <c r="V37" s="28"/>
      <c r="W37" s="28"/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activeCell="C2" sqref="C2:D4"/>
    </sheetView>
  </sheetViews>
  <sheetFormatPr defaultRowHeight="15"/>
  <cols>
    <col min="1" max="1" width="130.7109375" customWidth="1"/>
    <col min="4" max="4" width="15.7109375" customWidth="1"/>
  </cols>
  <sheetData>
    <row r="1" spans="1:5" ht="15.75" thickBot="1">
      <c r="A1" s="53" t="s">
        <v>1894</v>
      </c>
      <c r="B1" s="10"/>
      <c r="C1" s="10"/>
      <c r="D1" s="10"/>
      <c r="E1" s="19"/>
    </row>
    <row r="2" spans="1:5">
      <c r="A2" s="53" t="s">
        <v>2137</v>
      </c>
      <c r="C2" s="35"/>
      <c r="D2" s="22" t="s">
        <v>72</v>
      </c>
    </row>
    <row r="3" spans="1:5">
      <c r="A3" s="30" t="s">
        <v>2187</v>
      </c>
      <c r="C3" s="43"/>
      <c r="D3" s="44" t="s">
        <v>73</v>
      </c>
    </row>
    <row r="4" spans="1:5" ht="15.75" thickBot="1">
      <c r="A4" s="30" t="s">
        <v>2138</v>
      </c>
      <c r="C4" s="51"/>
      <c r="D4" s="45" t="s">
        <v>929</v>
      </c>
    </row>
    <row r="5" spans="1:5">
      <c r="A5" s="30" t="s">
        <v>2170</v>
      </c>
    </row>
    <row r="6" spans="1:5">
      <c r="A6" s="30" t="s">
        <v>1467</v>
      </c>
    </row>
    <row r="7" spans="1:5">
      <c r="A7" s="30" t="s">
        <v>1469</v>
      </c>
    </row>
    <row r="8" spans="1:5">
      <c r="A8" s="30" t="s">
        <v>2171</v>
      </c>
    </row>
    <row r="9" spans="1:5">
      <c r="A9" s="30" t="s">
        <v>1466</v>
      </c>
    </row>
    <row r="10" spans="1:5">
      <c r="A10" s="30" t="s">
        <v>1468</v>
      </c>
    </row>
    <row r="11" spans="1:5">
      <c r="A11" s="30" t="s">
        <v>1692</v>
      </c>
    </row>
    <row r="12" spans="1:5">
      <c r="A12" s="30" t="s">
        <v>2169</v>
      </c>
    </row>
    <row r="13" spans="1:5">
      <c r="A13" s="30" t="s">
        <v>1463</v>
      </c>
    </row>
    <row r="14" spans="1:5">
      <c r="A14" s="30" t="s">
        <v>2014</v>
      </c>
    </row>
    <row r="15" spans="1:5">
      <c r="A15" s="30" t="s">
        <v>2013</v>
      </c>
    </row>
    <row r="16" spans="1:5">
      <c r="A16" s="30" t="s">
        <v>1464</v>
      </c>
    </row>
    <row r="17" spans="1:1">
      <c r="A17" s="30" t="s">
        <v>1465</v>
      </c>
    </row>
    <row r="18" spans="1:1">
      <c r="A18" s="30" t="s">
        <v>2168</v>
      </c>
    </row>
    <row r="19" spans="1:1">
      <c r="A19" s="30" t="s">
        <v>2012</v>
      </c>
    </row>
    <row r="20" spans="1:1">
      <c r="A20" s="30" t="s">
        <v>2457</v>
      </c>
    </row>
    <row r="21" spans="1:1" ht="30">
      <c r="A21" s="57" t="s">
        <v>2459</v>
      </c>
    </row>
    <row r="22" spans="1:1" ht="30">
      <c r="A22" s="57" t="s">
        <v>2458</v>
      </c>
    </row>
    <row r="23" spans="1:1" ht="30" customHeight="1">
      <c r="A23" s="57" t="s">
        <v>2524</v>
      </c>
    </row>
    <row r="24" spans="1:1">
      <c r="A24" s="30" t="s">
        <v>2327</v>
      </c>
    </row>
    <row r="25" spans="1:1" ht="30">
      <c r="A25" s="57" t="s">
        <v>2533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0"/>
  <sheetViews>
    <sheetView workbookViewId="0">
      <selection activeCell="C2" sqref="C2:D4"/>
    </sheetView>
  </sheetViews>
  <sheetFormatPr defaultRowHeight="15"/>
  <cols>
    <col min="1" max="1" width="130.7109375" customWidth="1"/>
    <col min="4" max="4" width="15.7109375" customWidth="1"/>
  </cols>
  <sheetData>
    <row r="1" spans="1:4" ht="15.75" thickBot="1">
      <c r="A1" s="53" t="s">
        <v>2028</v>
      </c>
      <c r="C1" s="23"/>
      <c r="D1" s="23"/>
    </row>
    <row r="2" spans="1:4">
      <c r="A2" s="53" t="s">
        <v>2328</v>
      </c>
      <c r="C2" s="35"/>
      <c r="D2" s="22" t="s">
        <v>72</v>
      </c>
    </row>
    <row r="3" spans="1:4">
      <c r="A3" s="53" t="s">
        <v>2117</v>
      </c>
      <c r="C3" s="43"/>
      <c r="D3" s="44" t="s">
        <v>73</v>
      </c>
    </row>
    <row r="4" spans="1:4" ht="15.75" thickBot="1">
      <c r="A4" s="53" t="s">
        <v>2393</v>
      </c>
      <c r="C4" s="51"/>
      <c r="D4" s="45" t="s">
        <v>929</v>
      </c>
    </row>
    <row r="5" spans="1:4">
      <c r="A5" s="53" t="s">
        <v>2120</v>
      </c>
    </row>
    <row r="6" spans="1:4">
      <c r="A6" s="53" t="s">
        <v>2329</v>
      </c>
    </row>
    <row r="7" spans="1:4">
      <c r="A7" s="53" t="s">
        <v>2116</v>
      </c>
    </row>
    <row r="8" spans="1:4">
      <c r="A8" s="53" t="s">
        <v>2394</v>
      </c>
    </row>
    <row r="9" spans="1:4">
      <c r="A9" s="53" t="s">
        <v>2118</v>
      </c>
    </row>
    <row r="10" spans="1:4">
      <c r="A10" s="53" t="s">
        <v>2025</v>
      </c>
    </row>
    <row r="11" spans="1:4">
      <c r="A11" s="53" t="s">
        <v>2195</v>
      </c>
    </row>
    <row r="12" spans="1:4">
      <c r="A12" s="53" t="s">
        <v>2194</v>
      </c>
    </row>
    <row r="13" spans="1:4">
      <c r="A13" s="53" t="s">
        <v>2026</v>
      </c>
    </row>
    <row r="14" spans="1:4">
      <c r="A14" s="53" t="s">
        <v>2101</v>
      </c>
    </row>
    <row r="15" spans="1:4">
      <c r="A15" s="53" t="s">
        <v>2098</v>
      </c>
    </row>
    <row r="16" spans="1:4">
      <c r="A16" s="53" t="s">
        <v>2099</v>
      </c>
    </row>
    <row r="17" spans="1:1">
      <c r="A17" s="53" t="s">
        <v>2100</v>
      </c>
    </row>
    <row r="18" spans="1:1">
      <c r="A18" s="53" t="s">
        <v>2354</v>
      </c>
    </row>
    <row r="19" spans="1:1">
      <c r="A19" s="30" t="s">
        <v>2075</v>
      </c>
    </row>
    <row r="20" spans="1:1">
      <c r="A20" s="30" t="s">
        <v>2447</v>
      </c>
    </row>
    <row r="21" spans="1:1">
      <c r="A21" s="30" t="s">
        <v>2020</v>
      </c>
    </row>
    <row r="22" spans="1:1" s="19" customFormat="1">
      <c r="A22" s="30" t="s">
        <v>2143</v>
      </c>
    </row>
    <row r="23" spans="1:1" s="19" customFormat="1">
      <c r="A23" s="30" t="s">
        <v>2142</v>
      </c>
    </row>
    <row r="24" spans="1:1" s="19" customFormat="1">
      <c r="A24" s="30" t="s">
        <v>2055</v>
      </c>
    </row>
    <row r="25" spans="1:1" s="19" customFormat="1">
      <c r="A25" s="30" t="s">
        <v>2189</v>
      </c>
    </row>
    <row r="26" spans="1:1" s="19" customFormat="1">
      <c r="A26" s="30" t="s">
        <v>2190</v>
      </c>
    </row>
    <row r="27" spans="1:1">
      <c r="A27" s="30" t="s">
        <v>2191</v>
      </c>
    </row>
    <row r="28" spans="1:1">
      <c r="A28" s="30" t="s">
        <v>2192</v>
      </c>
    </row>
    <row r="29" spans="1:1">
      <c r="A29" s="30" t="s">
        <v>2330</v>
      </c>
    </row>
    <row r="30" spans="1:1" s="19" customFormat="1">
      <c r="A30" s="30" t="s">
        <v>2175</v>
      </c>
    </row>
    <row r="31" spans="1:1">
      <c r="A31" s="30" t="s">
        <v>2429</v>
      </c>
    </row>
    <row r="32" spans="1:1">
      <c r="A32" s="30" t="s">
        <v>2443</v>
      </c>
    </row>
    <row r="33" spans="1:1">
      <c r="A33" s="30" t="s">
        <v>2515</v>
      </c>
    </row>
    <row r="34" spans="1:1">
      <c r="A34" s="30" t="s">
        <v>2550</v>
      </c>
    </row>
    <row r="35" spans="1:1">
      <c r="A35" s="30" t="s">
        <v>2534</v>
      </c>
    </row>
    <row r="36" spans="1:1" s="19" customFormat="1">
      <c r="A36" s="37" t="s">
        <v>2428</v>
      </c>
    </row>
    <row r="37" spans="1:1">
      <c r="A37" s="37" t="s">
        <v>2427</v>
      </c>
    </row>
    <row r="38" spans="1:1">
      <c r="A38" s="37" t="s">
        <v>2326</v>
      </c>
    </row>
    <row r="39" spans="1:1">
      <c r="A39" s="37" t="s">
        <v>2433</v>
      </c>
    </row>
    <row r="40" spans="1:1">
      <c r="A40" s="37" t="s">
        <v>2551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1"/>
  <sheetViews>
    <sheetView workbookViewId="0">
      <selection activeCell="C2" sqref="C2:D4"/>
    </sheetView>
  </sheetViews>
  <sheetFormatPr defaultRowHeight="15"/>
  <cols>
    <col min="1" max="1" width="125" customWidth="1"/>
    <col min="4" max="4" width="15.7109375" customWidth="1"/>
  </cols>
  <sheetData>
    <row r="1" spans="1:4" ht="15.75" thickBot="1">
      <c r="A1" s="53" t="s">
        <v>2017</v>
      </c>
    </row>
    <row r="2" spans="1:4">
      <c r="A2" s="53" t="s">
        <v>2164</v>
      </c>
      <c r="C2" s="35"/>
      <c r="D2" s="22" t="s">
        <v>72</v>
      </c>
    </row>
    <row r="3" spans="1:4">
      <c r="A3" s="53" t="s">
        <v>2162</v>
      </c>
      <c r="C3" s="43"/>
      <c r="D3" s="44" t="s">
        <v>73</v>
      </c>
    </row>
    <row r="4" spans="1:4" ht="15.75" thickBot="1">
      <c r="A4" s="30" t="s">
        <v>2163</v>
      </c>
      <c r="C4" s="51"/>
      <c r="D4" s="45" t="s">
        <v>929</v>
      </c>
    </row>
    <row r="5" spans="1:4">
      <c r="A5" s="30" t="s">
        <v>1926</v>
      </c>
    </row>
    <row r="6" spans="1:4">
      <c r="A6" s="30" t="s">
        <v>1365</v>
      </c>
    </row>
    <row r="7" spans="1:4">
      <c r="A7" s="30" t="s">
        <v>1366</v>
      </c>
    </row>
    <row r="8" spans="1:4">
      <c r="A8" s="30" t="s">
        <v>1662</v>
      </c>
    </row>
    <row r="9" spans="1:4">
      <c r="A9" s="30" t="s">
        <v>714</v>
      </c>
    </row>
    <row r="10" spans="1:4">
      <c r="A10" s="30" t="s">
        <v>729</v>
      </c>
    </row>
    <row r="11" spans="1:4">
      <c r="A11" s="30" t="s">
        <v>224</v>
      </c>
    </row>
    <row r="12" spans="1:4">
      <c r="A12" s="30" t="s">
        <v>2127</v>
      </c>
    </row>
    <row r="13" spans="1:4">
      <c r="A13" s="30" t="s">
        <v>1144</v>
      </c>
    </row>
    <row r="14" spans="1:4">
      <c r="A14" s="30" t="s">
        <v>1582</v>
      </c>
    </row>
    <row r="15" spans="1:4">
      <c r="A15" s="30" t="s">
        <v>1927</v>
      </c>
    </row>
    <row r="16" spans="1:4">
      <c r="A16" s="30" t="s">
        <v>1979</v>
      </c>
    </row>
    <row r="17" spans="1:1">
      <c r="A17" s="30" t="s">
        <v>751</v>
      </c>
    </row>
    <row r="18" spans="1:1">
      <c r="A18" s="30" t="s">
        <v>715</v>
      </c>
    </row>
    <row r="19" spans="1:1">
      <c r="A19" s="30" t="s">
        <v>716</v>
      </c>
    </row>
    <row r="20" spans="1:1">
      <c r="A20" s="30" t="s">
        <v>717</v>
      </c>
    </row>
    <row r="21" spans="1:1">
      <c r="A21" s="30" t="s">
        <v>720</v>
      </c>
    </row>
    <row r="22" spans="1:1">
      <c r="A22" s="30" t="s">
        <v>732</v>
      </c>
    </row>
    <row r="23" spans="1:1">
      <c r="A23" s="30" t="s">
        <v>747</v>
      </c>
    </row>
    <row r="24" spans="1:1">
      <c r="A24" s="30" t="s">
        <v>721</v>
      </c>
    </row>
    <row r="25" spans="1:1">
      <c r="A25" s="30" t="s">
        <v>722</v>
      </c>
    </row>
    <row r="26" spans="1:1">
      <c r="A26" s="30" t="s">
        <v>723</v>
      </c>
    </row>
    <row r="27" spans="1:1">
      <c r="A27" s="30" t="s">
        <v>724</v>
      </c>
    </row>
    <row r="28" spans="1:1">
      <c r="A28" s="30" t="s">
        <v>725</v>
      </c>
    </row>
    <row r="29" spans="1:1">
      <c r="A29" s="30" t="s">
        <v>726</v>
      </c>
    </row>
    <row r="30" spans="1:1">
      <c r="A30" s="30" t="s">
        <v>727</v>
      </c>
    </row>
    <row r="31" spans="1:1">
      <c r="A31" s="30" t="s">
        <v>728</v>
      </c>
    </row>
    <row r="32" spans="1:1">
      <c r="A32" s="30" t="s">
        <v>1562</v>
      </c>
    </row>
    <row r="33" spans="1:1">
      <c r="A33" s="30" t="s">
        <v>824</v>
      </c>
    </row>
    <row r="34" spans="1:1">
      <c r="A34" s="30" t="s">
        <v>1339</v>
      </c>
    </row>
    <row r="35" spans="1:1">
      <c r="A35" s="30" t="s">
        <v>2186</v>
      </c>
    </row>
    <row r="36" spans="1:1">
      <c r="A36" s="30" t="s">
        <v>805</v>
      </c>
    </row>
    <row r="37" spans="1:1">
      <c r="A37" s="30" t="s">
        <v>806</v>
      </c>
    </row>
    <row r="38" spans="1:1">
      <c r="A38" s="30" t="s">
        <v>825</v>
      </c>
    </row>
    <row r="39" spans="1:1">
      <c r="A39" s="30" t="s">
        <v>826</v>
      </c>
    </row>
    <row r="40" spans="1:1">
      <c r="A40" s="30" t="s">
        <v>829</v>
      </c>
    </row>
    <row r="41" spans="1:1">
      <c r="A41" s="30" t="s">
        <v>868</v>
      </c>
    </row>
    <row r="42" spans="1:1">
      <c r="A42" s="30" t="s">
        <v>876</v>
      </c>
    </row>
    <row r="43" spans="1:1">
      <c r="A43" s="30" t="s">
        <v>878</v>
      </c>
    </row>
    <row r="44" spans="1:1">
      <c r="A44" s="30" t="s">
        <v>1674</v>
      </c>
    </row>
    <row r="45" spans="1:1">
      <c r="A45" s="30" t="s">
        <v>977</v>
      </c>
    </row>
    <row r="46" spans="1:1">
      <c r="A46" s="30" t="s">
        <v>2054</v>
      </c>
    </row>
    <row r="47" spans="1:1">
      <c r="A47" s="30" t="s">
        <v>1872</v>
      </c>
    </row>
    <row r="48" spans="1:1">
      <c r="A48" s="30" t="s">
        <v>1679</v>
      </c>
    </row>
    <row r="49" spans="1:1" ht="15" customHeight="1">
      <c r="A49" s="30" t="s">
        <v>2019</v>
      </c>
    </row>
    <row r="50" spans="1:1">
      <c r="A50" s="30" t="s">
        <v>2018</v>
      </c>
    </row>
    <row r="51" spans="1:1">
      <c r="A51" s="30" t="s">
        <v>1569</v>
      </c>
    </row>
    <row r="52" spans="1:1">
      <c r="A52" s="30" t="s">
        <v>1570</v>
      </c>
    </row>
    <row r="53" spans="1:1">
      <c r="A53" s="30" t="s">
        <v>2007</v>
      </c>
    </row>
    <row r="54" spans="1:1">
      <c r="A54" s="30" t="s">
        <v>1980</v>
      </c>
    </row>
    <row r="55" spans="1:1">
      <c r="A55" s="30" t="s">
        <v>1567</v>
      </c>
    </row>
    <row r="56" spans="1:1">
      <c r="A56" s="30" t="s">
        <v>1654</v>
      </c>
    </row>
    <row r="57" spans="1:1">
      <c r="A57" s="30" t="s">
        <v>1577</v>
      </c>
    </row>
    <row r="58" spans="1:1">
      <c r="A58" s="30" t="s">
        <v>2024</v>
      </c>
    </row>
    <row r="59" spans="1:1">
      <c r="A59" s="30" t="s">
        <v>1972</v>
      </c>
    </row>
    <row r="60" spans="1:1">
      <c r="A60" s="30" t="s">
        <v>1971</v>
      </c>
    </row>
    <row r="61" spans="1:1">
      <c r="A61" s="30" t="s">
        <v>2034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5"/>
  <sheetViews>
    <sheetView workbookViewId="0">
      <selection activeCell="C2" sqref="C2:D4"/>
    </sheetView>
  </sheetViews>
  <sheetFormatPr defaultRowHeight="15"/>
  <cols>
    <col min="1" max="1" width="158.7109375" customWidth="1"/>
    <col min="4" max="4" width="15.7109375" customWidth="1"/>
  </cols>
  <sheetData>
    <row r="1" spans="1:4" ht="15.75" thickBot="1">
      <c r="A1" s="37" t="s">
        <v>1578</v>
      </c>
    </row>
    <row r="2" spans="1:4">
      <c r="A2" s="37" t="s">
        <v>1892</v>
      </c>
      <c r="C2" s="35"/>
      <c r="D2" s="22" t="s">
        <v>72</v>
      </c>
    </row>
    <row r="3" spans="1:4">
      <c r="A3" s="37" t="s">
        <v>1897</v>
      </c>
      <c r="C3" s="43"/>
      <c r="D3" s="44" t="s">
        <v>73</v>
      </c>
    </row>
    <row r="4" spans="1:4" ht="15.75" thickBot="1">
      <c r="A4" s="53" t="s">
        <v>2038</v>
      </c>
      <c r="C4" s="51"/>
      <c r="D4" s="45" t="s">
        <v>929</v>
      </c>
    </row>
    <row r="5" spans="1:4">
      <c r="A5" s="53" t="s">
        <v>2039</v>
      </c>
    </row>
    <row r="6" spans="1:4">
      <c r="A6" s="53" t="s">
        <v>2040</v>
      </c>
    </row>
    <row r="7" spans="1:4">
      <c r="A7" s="53" t="s">
        <v>2041</v>
      </c>
    </row>
    <row r="8" spans="1:4">
      <c r="A8" s="53" t="s">
        <v>2335</v>
      </c>
    </row>
    <row r="9" spans="1:4">
      <c r="A9" s="30" t="s">
        <v>2336</v>
      </c>
    </row>
    <row r="10" spans="1:4">
      <c r="A10" s="30" t="s">
        <v>2197</v>
      </c>
    </row>
    <row r="11" spans="1:4">
      <c r="A11" s="30" t="s">
        <v>1661</v>
      </c>
    </row>
    <row r="12" spans="1:4">
      <c r="A12" s="30" t="s">
        <v>2056</v>
      </c>
    </row>
    <row r="13" spans="1:4">
      <c r="A13" s="30" t="s">
        <v>1428</v>
      </c>
    </row>
    <row r="14" spans="1:4">
      <c r="A14" s="30" t="s">
        <v>1917</v>
      </c>
    </row>
    <row r="15" spans="1:4">
      <c r="A15" s="30" t="s">
        <v>1921</v>
      </c>
    </row>
    <row r="16" spans="1:4">
      <c r="A16" s="30" t="s">
        <v>1925</v>
      </c>
    </row>
    <row r="17" spans="1:1">
      <c r="A17" s="30" t="s">
        <v>1924</v>
      </c>
    </row>
    <row r="18" spans="1:1">
      <c r="A18" s="30" t="s">
        <v>1893</v>
      </c>
    </row>
    <row r="19" spans="1:1">
      <c r="A19" s="30" t="s">
        <v>1656</v>
      </c>
    </row>
    <row r="20" spans="1:1">
      <c r="A20" s="30" t="s">
        <v>1655</v>
      </c>
    </row>
    <row r="21" spans="1:1">
      <c r="A21" s="30" t="s">
        <v>1659</v>
      </c>
    </row>
    <row r="22" spans="1:1">
      <c r="A22" s="30" t="s">
        <v>1658</v>
      </c>
    </row>
    <row r="23" spans="1:1">
      <c r="A23" s="30" t="s">
        <v>1657</v>
      </c>
    </row>
    <row r="24" spans="1:1">
      <c r="A24" s="30" t="s">
        <v>1563</v>
      </c>
    </row>
    <row r="25" spans="1:1">
      <c r="A25" s="30" t="s">
        <v>1871</v>
      </c>
    </row>
    <row r="26" spans="1:1">
      <c r="A26" s="30" t="s">
        <v>2052</v>
      </c>
    </row>
    <row r="27" spans="1:1">
      <c r="A27" s="30" t="s">
        <v>1566</v>
      </c>
    </row>
    <row r="28" spans="1:1">
      <c r="A28" s="30" t="s">
        <v>1700</v>
      </c>
    </row>
    <row r="29" spans="1:1">
      <c r="A29" s="30" t="s">
        <v>142</v>
      </c>
    </row>
    <row r="30" spans="1:1">
      <c r="A30" s="30" t="s">
        <v>1568</v>
      </c>
    </row>
    <row r="31" spans="1:1">
      <c r="A31" s="30" t="s">
        <v>2049</v>
      </c>
    </row>
    <row r="32" spans="1:1">
      <c r="A32" s="30" t="s">
        <v>1356</v>
      </c>
    </row>
    <row r="33" spans="1:1">
      <c r="A33" s="30" t="s">
        <v>1357</v>
      </c>
    </row>
    <row r="34" spans="1:1">
      <c r="A34" s="30" t="s">
        <v>2053</v>
      </c>
    </row>
    <row r="35" spans="1:1">
      <c r="A35" s="30" t="s">
        <v>2016</v>
      </c>
    </row>
    <row r="36" spans="1:1">
      <c r="A36" s="30" t="s">
        <v>2015</v>
      </c>
    </row>
    <row r="37" spans="1:1">
      <c r="A37" s="30" t="s">
        <v>1459</v>
      </c>
    </row>
    <row r="38" spans="1:1">
      <c r="A38" s="30" t="s">
        <v>1285</v>
      </c>
    </row>
    <row r="39" spans="1:1">
      <c r="A39" s="30" t="s">
        <v>1462</v>
      </c>
    </row>
    <row r="40" spans="1:1">
      <c r="A40" s="30" t="s">
        <v>1675</v>
      </c>
    </row>
    <row r="41" spans="1:1">
      <c r="A41" s="30" t="s">
        <v>1945</v>
      </c>
    </row>
    <row r="42" spans="1:1">
      <c r="A42" s="30" t="s">
        <v>991</v>
      </c>
    </row>
    <row r="43" spans="1:1">
      <c r="A43" s="30" t="s">
        <v>303</v>
      </c>
    </row>
    <row r="44" spans="1:1">
      <c r="A44" s="30" t="s">
        <v>711</v>
      </c>
    </row>
    <row r="45" spans="1:1">
      <c r="A45" s="30" t="s">
        <v>1536</v>
      </c>
    </row>
    <row r="46" spans="1:1">
      <c r="A46" s="30" t="s">
        <v>1537</v>
      </c>
    </row>
    <row r="47" spans="1:1">
      <c r="A47" s="30" t="s">
        <v>1140</v>
      </c>
    </row>
    <row r="48" spans="1:1">
      <c r="A48" s="30" t="s">
        <v>1202</v>
      </c>
    </row>
    <row r="49" spans="1:1">
      <c r="A49" s="30" t="s">
        <v>2184</v>
      </c>
    </row>
    <row r="50" spans="1:1">
      <c r="A50" s="30" t="s">
        <v>2057</v>
      </c>
    </row>
    <row r="51" spans="1:1">
      <c r="A51" s="30" t="s">
        <v>2058</v>
      </c>
    </row>
    <row r="52" spans="1:1">
      <c r="A52" s="30" t="s">
        <v>1747</v>
      </c>
    </row>
    <row r="53" spans="1:1">
      <c r="A53" s="30" t="s">
        <v>2348</v>
      </c>
    </row>
    <row r="54" spans="1:1">
      <c r="A54" s="30" t="s">
        <v>1652</v>
      </c>
    </row>
    <row r="55" spans="1:1">
      <c r="A55" s="30" t="s">
        <v>1653</v>
      </c>
    </row>
    <row r="56" spans="1:1">
      <c r="A56" s="30" t="s">
        <v>1651</v>
      </c>
    </row>
    <row r="57" spans="1:1">
      <c r="A57" s="30" t="s">
        <v>1367</v>
      </c>
    </row>
    <row r="58" spans="1:1">
      <c r="A58" s="30" t="s">
        <v>2130</v>
      </c>
    </row>
    <row r="59" spans="1:1">
      <c r="A59" s="30" t="s">
        <v>1260</v>
      </c>
    </row>
    <row r="60" spans="1:1">
      <c r="A60" s="30" t="s">
        <v>1261</v>
      </c>
    </row>
    <row r="61" spans="1:1">
      <c r="A61" s="30" t="s">
        <v>735</v>
      </c>
    </row>
    <row r="62" spans="1:1">
      <c r="A62" s="30" t="s">
        <v>1368</v>
      </c>
    </row>
    <row r="63" spans="1:1">
      <c r="A63" s="30" t="s">
        <v>1369</v>
      </c>
    </row>
    <row r="64" spans="1:1">
      <c r="A64" s="30" t="s">
        <v>2129</v>
      </c>
    </row>
    <row r="65" spans="1:1">
      <c r="A65" s="30" t="s">
        <v>952</v>
      </c>
    </row>
    <row r="66" spans="1:1">
      <c r="A66" s="30" t="s">
        <v>953</v>
      </c>
    </row>
    <row r="67" spans="1:1">
      <c r="A67" s="30" t="s">
        <v>1955</v>
      </c>
    </row>
    <row r="68" spans="1:1">
      <c r="A68" s="30" t="s">
        <v>740</v>
      </c>
    </row>
    <row r="69" spans="1:1">
      <c r="A69" s="30" t="s">
        <v>741</v>
      </c>
    </row>
    <row r="70" spans="1:1">
      <c r="A70" s="30" t="s">
        <v>1580</v>
      </c>
    </row>
    <row r="71" spans="1:1">
      <c r="A71" s="30" t="s">
        <v>1680</v>
      </c>
    </row>
    <row r="72" spans="1:1">
      <c r="A72" s="30" t="s">
        <v>1876</v>
      </c>
    </row>
    <row r="73" spans="1:1">
      <c r="A73" s="30" t="s">
        <v>1881</v>
      </c>
    </row>
    <row r="74" spans="1:1">
      <c r="A74" s="30" t="s">
        <v>1880</v>
      </c>
    </row>
    <row r="75" spans="1:1">
      <c r="A75" s="30" t="s">
        <v>2102</v>
      </c>
    </row>
    <row r="76" spans="1:1">
      <c r="A76" s="30" t="s">
        <v>947</v>
      </c>
    </row>
    <row r="77" spans="1:1">
      <c r="A77" s="30" t="s">
        <v>946</v>
      </c>
    </row>
    <row r="78" spans="1:1">
      <c r="A78" s="30" t="s">
        <v>1976</v>
      </c>
    </row>
    <row r="79" spans="1:1">
      <c r="A79" s="30" t="s">
        <v>2027</v>
      </c>
    </row>
    <row r="80" spans="1:1">
      <c r="A80" s="30" t="s">
        <v>1175</v>
      </c>
    </row>
    <row r="81" spans="1:1">
      <c r="A81" s="30" t="s">
        <v>949</v>
      </c>
    </row>
    <row r="82" spans="1:1">
      <c r="A82" s="30" t="s">
        <v>1263</v>
      </c>
    </row>
    <row r="83" spans="1:1">
      <c r="A83" s="30" t="s">
        <v>1870</v>
      </c>
    </row>
    <row r="84" spans="1:1">
      <c r="A84" s="30" t="s">
        <v>1873</v>
      </c>
    </row>
    <row r="85" spans="1:1">
      <c r="A85" s="30" t="s">
        <v>1412</v>
      </c>
    </row>
    <row r="86" spans="1:1">
      <c r="A86" s="30" t="s">
        <v>1302</v>
      </c>
    </row>
    <row r="87" spans="1:1">
      <c r="A87" s="30" t="s">
        <v>1579</v>
      </c>
    </row>
    <row r="88" spans="1:1">
      <c r="A88" s="30" t="s">
        <v>2059</v>
      </c>
    </row>
    <row r="89" spans="1:1">
      <c r="A89" s="30" t="s">
        <v>2060</v>
      </c>
    </row>
    <row r="90" spans="1:1">
      <c r="A90" s="30" t="s">
        <v>2387</v>
      </c>
    </row>
    <row r="91" spans="1:1">
      <c r="A91" s="30" t="s">
        <v>2061</v>
      </c>
    </row>
    <row r="92" spans="1:1">
      <c r="A92" s="30" t="s">
        <v>1965</v>
      </c>
    </row>
    <row r="93" spans="1:1">
      <c r="A93" s="30" t="s">
        <v>2043</v>
      </c>
    </row>
    <row r="94" spans="1:1">
      <c r="A94" s="30" t="s">
        <v>2044</v>
      </c>
    </row>
    <row r="95" spans="1:1">
      <c r="A95" s="30" t="s">
        <v>2045</v>
      </c>
    </row>
    <row r="96" spans="1:1">
      <c r="A96" s="30" t="s">
        <v>2188</v>
      </c>
    </row>
    <row r="97" spans="1:1">
      <c r="A97" s="30" t="s">
        <v>2322</v>
      </c>
    </row>
    <row r="98" spans="1:1">
      <c r="A98" s="30" t="s">
        <v>2522</v>
      </c>
    </row>
    <row r="99" spans="1:1">
      <c r="A99" s="30" t="s">
        <v>2339</v>
      </c>
    </row>
    <row r="100" spans="1:1">
      <c r="A100" s="30" t="s">
        <v>2337</v>
      </c>
    </row>
    <row r="101" spans="1:1">
      <c r="A101" s="30" t="s">
        <v>2338</v>
      </c>
    </row>
    <row r="102" spans="1:1">
      <c r="A102" s="30" t="s">
        <v>2376</v>
      </c>
    </row>
    <row r="103" spans="1:1">
      <c r="A103" s="30" t="s">
        <v>2513</v>
      </c>
    </row>
    <row r="104" spans="1:1">
      <c r="A104" s="30" t="s">
        <v>2514</v>
      </c>
    </row>
    <row r="105" spans="1:1">
      <c r="A105" s="30" t="s">
        <v>2554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Оружие ближнего боя</vt:lpstr>
      <vt:lpstr>Огнестрельное оружие</vt:lpstr>
      <vt:lpstr>Метательное оружие</vt:lpstr>
      <vt:lpstr>Луки</vt:lpstr>
      <vt:lpstr>Технологическая броня</vt:lpstr>
      <vt:lpstr>Магическая броня</vt:lpstr>
      <vt:lpstr>Щиты</vt:lpstr>
      <vt:lpstr>Шлемы</vt:lpstr>
      <vt:lpstr>Перчатки и ботинки</vt:lpstr>
      <vt:lpstr>Медальоны и кольца</vt:lpstr>
      <vt:lpstr>Зелья и еда</vt:lpstr>
      <vt:lpstr>Вес и стоимость предметов</vt:lpstr>
      <vt:lpstr>Склонность предметов</vt:lpstr>
      <vt:lpstr>Технологические схемы</vt:lpstr>
      <vt:lpstr>Магия</vt:lpstr>
      <vt:lpstr>Существа</vt:lpstr>
      <vt:lpstr>Ошибки</vt:lpstr>
      <vt:lpstr>Движок игры</vt:lpstr>
      <vt:lpstr>Изображения и эффекты</vt:lpstr>
      <vt:lpstr>Разное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Владимир</cp:lastModifiedBy>
  <dcterms:created xsi:type="dcterms:W3CDTF">2014-03-14T17:50:19Z</dcterms:created>
  <dcterms:modified xsi:type="dcterms:W3CDTF">2017-03-27T18:14:24Z</dcterms:modified>
</cp:coreProperties>
</file>